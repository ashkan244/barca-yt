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1570" windowHeight="9615"/>
  </bookViews>
  <sheets>
    <sheet name="شواهد بازار" sheetId="1" r:id="rId1"/>
    <sheet name="بنچمارک کانال‌ها" sheetId="2" r:id="rId2"/>
    <sheet name="امتیاز فرمت‌ها" sheetId="3" r:id="rId3"/>
    <sheet name="مدل احتمال موفقیت" sheetId="4" r:id="rId4"/>
    <sheet name="تقویم ۱۲ ویدیوی اول" sheetId="5" r:id="rId5"/>
  </sheets>
  <calcPr calcId="162913"/>
</workbook>
</file>

<file path=xl/calcChain.xml><?xml version="1.0" encoding="utf-8"?>
<calcChain xmlns="http://schemas.openxmlformats.org/spreadsheetml/2006/main">
  <c r="B18" i="4" l="1"/>
  <c r="B16" i="4"/>
  <c r="B19" i="4" s="1"/>
  <c r="J16" i="3"/>
  <c r="J15" i="3"/>
  <c r="J14" i="3"/>
  <c r="J13" i="3"/>
  <c r="J12" i="3"/>
  <c r="J11" i="3"/>
  <c r="J10" i="3"/>
  <c r="J9" i="3"/>
  <c r="J8" i="3"/>
  <c r="K8" i="3" s="1"/>
  <c r="J7" i="3"/>
  <c r="J4" i="3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18" i="2" s="1"/>
  <c r="K12" i="3" l="1"/>
  <c r="K9" i="3"/>
  <c r="K10" i="3"/>
  <c r="K7" i="3"/>
  <c r="K11" i="3"/>
  <c r="K15" i="3"/>
  <c r="K16" i="3"/>
  <c r="K13" i="3"/>
  <c r="K14" i="3"/>
  <c r="B17" i="4"/>
</calcChain>
</file>

<file path=xl/sharedStrings.xml><?xml version="1.0" encoding="utf-8"?>
<sst xmlns="http://schemas.openxmlformats.org/spreadsheetml/2006/main" count="448" uniqueCount="313">
  <si>
    <t>Market evidence — YouTube search, 15 Oct 2026 (hl=en, gl=US)</t>
  </si>
  <si>
    <t>Source: YouTube search results captured via browser on 2026-10-15. Views are a snapshot. Format codes: FS full story, TX tactics explained, PL play-like, WI what-if, BZ business/club, PC player curiosity, TM the-match story, PRE preview, RK ranking.</t>
  </si>
  <si>
    <t>Topic/query</t>
  </si>
  <si>
    <t>Format</t>
  </si>
  <si>
    <t>Views</t>
  </si>
  <si>
    <t>Age</t>
  </si>
  <si>
    <t>Length</t>
  </si>
  <si>
    <t>Channel</t>
  </si>
  <si>
    <t>Title</t>
  </si>
  <si>
    <t>barcelona tactics flick</t>
  </si>
  <si>
    <t>TX</t>
  </si>
  <si>
    <t>2w</t>
  </si>
  <si>
    <t>11:23</t>
  </si>
  <si>
    <t>Football Made Simple</t>
  </si>
  <si>
    <t>Flick's Barcelona Tactics Are Crazy</t>
  </si>
  <si>
    <t>2y</t>
  </si>
  <si>
    <t>19:08</t>
  </si>
  <si>
    <t>DK FALCON</t>
  </si>
  <si>
    <t>How Barcelona’s NEW Tactic is Breaking Traditions!</t>
  </si>
  <si>
    <t>1y</t>
  </si>
  <si>
    <t>17:31</t>
  </si>
  <si>
    <t>The Adam Clery Football Channel</t>
  </si>
  <si>
    <t>Hansi Flick’s INCREDIBLE Barcelona Tactics Explained</t>
  </si>
  <si>
    <t>11:42</t>
  </si>
  <si>
    <t>The Purist Football</t>
  </si>
  <si>
    <t>Why Barcelona have the best attack in Europe (Analysis)</t>
  </si>
  <si>
    <t>el clasico preview</t>
  </si>
  <si>
    <t>PRE</t>
  </si>
  <si>
    <t>5mo</t>
  </si>
  <si>
    <t>12:22</t>
  </si>
  <si>
    <t>TalkFCB</t>
  </si>
  <si>
    <t>BARCELONA VS REAL MADRID, EL CLASICO 2026 - MATCH PREVIEW</t>
  </si>
  <si>
    <t>15:42</t>
  </si>
  <si>
    <t>The Half Space</t>
  </si>
  <si>
    <t>El Clásico 2026 PREVIEW Barcelona VS Real Madrid</t>
  </si>
  <si>
    <t>el clasico tactics (post-match)</t>
  </si>
  <si>
    <t>9mo</t>
  </si>
  <si>
    <t>8:19</t>
  </si>
  <si>
    <t>The Tactics Behind The Insane El Classico</t>
  </si>
  <si>
    <t>lamine yamal analysis</t>
  </si>
  <si>
    <t>PC</t>
  </si>
  <si>
    <t>13:49</t>
  </si>
  <si>
    <t>PedTalksFutbol</t>
  </si>
  <si>
    <t>This Video Will Change How You See Yamal Forever</t>
  </si>
  <si>
    <t>11:22</t>
  </si>
  <si>
    <t>intrcpt</t>
  </si>
  <si>
    <t>The Scary Truth About Lamine Yamal...</t>
  </si>
  <si>
    <t>8mo</t>
  </si>
  <si>
    <t>13:42</t>
  </si>
  <si>
    <t>The Numbers Are Lying to You About Lamine Yamal</t>
  </si>
  <si>
    <t>pedri analysis</t>
  </si>
  <si>
    <t>7mo</t>
  </si>
  <si>
    <t>8:56</t>
  </si>
  <si>
    <t>Something Strange Happens When Pedri Gets the Ball...</t>
  </si>
  <si>
    <t>14:13</t>
  </si>
  <si>
    <t>Why Pedri Is Better Than the Numbers Say</t>
  </si>
  <si>
    <t>play like pedri</t>
  </si>
  <si>
    <t>PL</t>
  </si>
  <si>
    <t>6:37</t>
  </si>
  <si>
    <t>Dribble Dreams Academy</t>
  </si>
  <si>
    <t>How to Play as a Midfielder | ... with Pedri</t>
  </si>
  <si>
    <t>7:00</t>
  </si>
  <si>
    <t>How to Play as a Midfielder | Movement &amp; Passing with Pedri</t>
  </si>
  <si>
    <t>cruyff documentary</t>
  </si>
  <si>
    <t>FS</t>
  </si>
  <si>
    <t>4y</t>
  </si>
  <si>
    <t>50:58</t>
  </si>
  <si>
    <t>balón - English</t>
  </si>
  <si>
    <t>Cruyff: The Total Footballer</t>
  </si>
  <si>
    <t>38:47</t>
  </si>
  <si>
    <t>Eurão</t>
  </si>
  <si>
    <t>Cruyff: The Genius Who Changed Football Forever</t>
  </si>
  <si>
    <t>37:39</t>
  </si>
  <si>
    <t>TheRetroRoute</t>
  </si>
  <si>
    <t>Johan Cruyff's Barcelona: The Dream Team</t>
  </si>
  <si>
    <t>full story biography</t>
  </si>
  <si>
    <t>1:30:32</t>
  </si>
  <si>
    <t>FDOR</t>
  </si>
  <si>
    <t>The Full Story of Cristiano Ronaldo</t>
  </si>
  <si>
    <t>27:01</t>
  </si>
  <si>
    <t>The Full Story of Diego Maradona</t>
  </si>
  <si>
    <t>messi documentary</t>
  </si>
  <si>
    <t>3y</t>
  </si>
  <si>
    <t>52:59</t>
  </si>
  <si>
    <t>Lionel Messi: Ascending to Greatness</t>
  </si>
  <si>
    <t>barcelona history</t>
  </si>
  <si>
    <t>6y</t>
  </si>
  <si>
    <t>29:08</t>
  </si>
  <si>
    <t>FC Barcelona: An Era Between Two Greats</t>
  </si>
  <si>
    <t>2-6 bernabeu story</t>
  </si>
  <si>
    <t>TM</t>
  </si>
  <si>
    <t>1mo</t>
  </si>
  <si>
    <t>16:28</t>
  </si>
  <si>
    <t>FM247 HD</t>
  </si>
  <si>
    <t>The Day Messi Showed No Mercy to Real Madrid at the Bernabéu</t>
  </si>
  <si>
    <t>6-1 psg story</t>
  </si>
  <si>
    <t>10mo</t>
  </si>
  <si>
    <t>20:26</t>
  </si>
  <si>
    <t>The Football Narrative</t>
  </si>
  <si>
    <t>The Champions League Victory That Made No Sense</t>
  </si>
  <si>
    <t>2mo</t>
  </si>
  <si>
    <t>3:19</t>
  </si>
  <si>
    <t>Diablo AMV</t>
  </si>
  <si>
    <t>The Greatest Comeback in Football History… as an ANIME</t>
  </si>
  <si>
    <t>clasico rivalry history</t>
  </si>
  <si>
    <t>28:10</t>
  </si>
  <si>
    <t>The Match That Started The Most Violent Era In Football History</t>
  </si>
  <si>
    <t>7y</t>
  </si>
  <si>
    <t>11:10</t>
  </si>
  <si>
    <t>Rabona TV</t>
  </si>
  <si>
    <t>How The Spanish Civil War Shaped El Clásico</t>
  </si>
  <si>
    <t>what if neymar</t>
  </si>
  <si>
    <t>WI</t>
  </si>
  <si>
    <t>26:05</t>
  </si>
  <si>
    <t>Jechlan</t>
  </si>
  <si>
    <t>What If Neymar Never Left Barcelona?</t>
  </si>
  <si>
    <t>26:12</t>
  </si>
  <si>
    <t>What If Neymar Never Got Injured?</t>
  </si>
  <si>
    <t>barca finances</t>
  </si>
  <si>
    <t>BZ</t>
  </si>
  <si>
    <t>5y</t>
  </si>
  <si>
    <t>8:09</t>
  </si>
  <si>
    <t>Tifo Football by The Athletic</t>
  </si>
  <si>
    <t>Barcelona's $1.3bn debt</t>
  </si>
  <si>
    <t>16:54</t>
  </si>
  <si>
    <t>Live 90 Football</t>
  </si>
  <si>
    <t>Meet the Entrepreneur That Destroyed FC Barcelona in 5 Years</t>
  </si>
  <si>
    <t>21:43</t>
  </si>
  <si>
    <t>Simba FC</t>
  </si>
  <si>
    <t>How A Club With NO MONEY Pulled Off An IMPOSSIBLE Rebuild</t>
  </si>
  <si>
    <t>4mo</t>
  </si>
  <si>
    <t>16:31</t>
  </si>
  <si>
    <t>How Can Barca Spend So Much Money?</t>
  </si>
  <si>
    <t>la masia</t>
  </si>
  <si>
    <t>6mo</t>
  </si>
  <si>
    <t>12:59</t>
  </si>
  <si>
    <t>Why La Masia Produces 0 Strikers</t>
  </si>
  <si>
    <t>10:19</t>
  </si>
  <si>
    <t>La Masia: The History of Barcelona’s Academy</t>
  </si>
  <si>
    <t>best clasico goals ranked</t>
  </si>
  <si>
    <t>RK</t>
  </si>
  <si>
    <t>14:12</t>
  </si>
  <si>
    <t>LALIGA EA SPORTS</t>
  </si>
  <si>
    <t>Top 20 Goals of ELCLÁSICO 2015-2025 (official)</t>
  </si>
  <si>
    <t>5:00</t>
  </si>
  <si>
    <t>JB fc</t>
  </si>
  <si>
    <t>Every El Clasico Goal Under Hansi Flick - From Worst To Best</t>
  </si>
  <si>
    <t>pep tactics explained</t>
  </si>
  <si>
    <t>2:41:33</t>
  </si>
  <si>
    <t>The Complete Tactical Evolution Of Pep Guardiola</t>
  </si>
  <si>
    <t>1:40:03</t>
  </si>
  <si>
    <t>The Tactics Of Every Post Pep Barca Manager</t>
  </si>
  <si>
    <t>Channel benchmarks — outlier ratio = best video views ÷ subscribers</t>
  </si>
  <si>
    <t>Subscriber counts: YouTube channel search, 15 Oct 2026 (rounded as displayed). Ratio &gt; 3 = format breaks out beyond the existing audience.</t>
  </si>
  <si>
    <t>Subscribers</t>
  </si>
  <si>
    <t>Best video views</t>
  </si>
  <si>
    <t>Outlier ratio</t>
  </si>
  <si>
    <t>Note</t>
  </si>
  <si>
    <t>educational "play like" – tiny channel, huge search demand</t>
  </si>
  <si>
    <t>fully illustrated (cartoon) biographies, no footage look</t>
  </si>
  <si>
    <t>club rebuild/finance story</t>
  </si>
  <si>
    <t>what-if, 26 min</t>
  </si>
  <si>
    <t>history narrative, 28 min</t>
  </si>
  <si>
    <t>player curiosity</t>
  </si>
  <si>
    <t>BZ/PC</t>
  </si>
  <si>
    <t>contrarian titles</t>
  </si>
  <si>
    <t>curiosity title</t>
  </si>
  <si>
    <t>tactics explained</t>
  </si>
  <si>
    <t>long documentaries</t>
  </si>
  <si>
    <t>tactics leader (recent)</t>
  </si>
  <si>
    <t>Barça news/preview – low ratio</t>
  </si>
  <si>
    <t>CULES EN</t>
  </si>
  <si>
    <t>Barça English, recent</t>
  </si>
  <si>
    <t>Median outlier ratio</t>
  </si>
  <si>
    <t>Format scoring — weighted (1–5 per criterion). Edit yellow weights and blue scores.</t>
  </si>
  <si>
    <t>Scores are judgment informed by the evidence tabs; weights must sum to 100%.</t>
  </si>
  <si>
    <t>Weights →</t>
  </si>
  <si>
    <t>Weight check (must be 100%)</t>
  </si>
  <si>
    <t>Demand (top views on topic)</t>
  </si>
  <si>
    <t>Breakout potential (outlier ratio)</t>
  </si>
  <si>
    <t>Competition gap</t>
  </si>
  <si>
    <t>Fit to our strengths (animation, no footage)</t>
  </si>
  <si>
    <t>Production cost (5 = cheap)</t>
  </si>
  <si>
    <t>Legal safety</t>
  </si>
  <si>
    <t>Evergreen / compounding</t>
  </si>
  <si>
    <t>Series potential</t>
  </si>
  <si>
    <t>Weighted score</t>
  </si>
  <si>
    <t>Rank</t>
  </si>
  <si>
    <t>Decision</t>
  </si>
  <si>
    <t>Why (evidence)</t>
  </si>
  <si>
    <t>FS — The Full Story (illustrated biography, 30–45 min)</t>
  </si>
  <si>
    <t>HERO (monthly)</t>
  </si>
  <si>
    <t>FDOR 35x, balón ~10x; multi-million views on Cruyff/Messi docs; illustrated look = no footage.</t>
  </si>
  <si>
    <t>TM — The Match That… (history narrative, 20–28 min)</t>
  </si>
  <si>
    <t>CORE (bi-weekly)</t>
  </si>
  <si>
    <t>Football Narrative 8x; no long-form 2-6 story exists (gap); anime 6-1 got 820K in 2 months.</t>
  </si>
  <si>
    <t>WI — What If (transparent simulation, 20–26 min)</t>
  </si>
  <si>
    <t>CORE (monthly)</t>
  </si>
  <si>
    <t>Jechlan 11x (924K, 619K). Our differentiator: on-screen simulation. Avoid already-done topics.</t>
  </si>
  <si>
    <t>PL — Play Like Barça (educational, 8–12 min)</t>
  </si>
  <si>
    <t>CORE (weekly)</t>
  </si>
  <si>
    <t>Dribble Dreams 36x at 15K subs; evergreen search; animation is ideal; brand-safe for ads.</t>
  </si>
  <si>
    <t>TX — Tactics Explained (post-match / system, 12–18 min)</t>
  </si>
  <si>
    <t>CORE (after big matches)</t>
  </si>
  <si>
    <t>Huge demand (FMS 558K in 2w) but strong incumbents; post-match &gt; preview.</t>
  </si>
  <si>
    <t>BZ — Club &amp; Business Stories (16–22 min)</t>
  </si>
  <si>
    <t>ROTATION (monthly)</t>
  </si>
  <si>
    <t>Simba 14x, Live 90 750K, Tifo 1M. Defamation care: reported facts only.</t>
  </si>
  <si>
    <t>PC — Player Curiosity (12–14 min)</t>
  </si>
  <si>
    <t>ROTATION</t>
  </si>
  <si>
    <t>1.5–2.5x; works with curiosity titles ("Something strange happens when…").</t>
  </si>
  <si>
    <t>PRE — Match Preview (news)</t>
  </si>
  <si>
    <t>DROP</t>
  </si>
  <si>
    <t>TalkFCB 0.1x; previews die after the match.</t>
  </si>
  <si>
    <t>RK — Rankings / Top 10 goals</t>
  </si>
  <si>
    <t>Official LaLiga channels dominate with footage we cannot use.</t>
  </si>
  <si>
    <t>FO — Fan Oral History (standalone)</t>
  </si>
  <si>
    <t>SEGMENT only</t>
  </si>
  <si>
    <t>No demand evidence standalone; use as HUMAN segments inside FS/TM + community.</t>
  </si>
  <si>
    <t>Milestone probability model — base rate × adjustment multipliers (edit yellow cells)</t>
  </si>
  <si>
    <t>Base rate source: vidIQ Research (Sep 2026): of channels &lt;1K subs, 30.77% with 52+ uploads in 360 days reached 1,000 subs; 8.65% with 12–51 uploads. Multipliers are explicit judgment calls.</t>
  </si>
  <si>
    <t>INPUTS</t>
  </si>
  <si>
    <t/>
  </si>
  <si>
    <t>Base: P(1K subs in 12 months | 52+ uploads/yr)</t>
  </si>
  <si>
    <t>vidIQ Research Sep 2026 — https://vidiq.com/research/youtube-uploads-1000-subscribers/</t>
  </si>
  <si>
    <t>Multiplier: niche demand (Barça = largest global fanbase; proven breakouts)</t>
  </si>
  <si>
    <t>Judgment: evidence tab shows 8–36x outliers in our formats</t>
  </si>
  <si>
    <t>Multiplier: differentiation &amp; production quality (animated, no footage)</t>
  </si>
  <si>
    <t>Judgment: few Barça-only channels with documentary-grade visuals</t>
  </si>
  <si>
    <t>Multiplier: execution risk (one operator, TTS voice, slow local machine)</t>
  </si>
  <si>
    <t>Judgment: consistency is the #1 failure mode; cloud render mitigates</t>
  </si>
  <si>
    <t>Multiplier: format mix weighted to hero formats (FS/TM/WI/PL)</t>
  </si>
  <si>
    <t>Judgment: avoids low-ratio formats (preview/news)</t>
  </si>
  <si>
    <t>P(4,000 watch hours | 1K subs) for 15–30 min videos</t>
  </si>
  <si>
    <t>Judgment: 4,000 h ≈ 40K views at ~6 min avg view duration</t>
  </si>
  <si>
    <t>P(at least one video ≥ 100K views in 12 months) — base for new channel</t>
  </si>
  <si>
    <t>Judgment: breakouts on small channels exist but are rare</t>
  </si>
  <si>
    <t>Multiplier on breakout from hero formats + packaging tests</t>
  </si>
  <si>
    <t>Judgment: FS/WI/PL show the highest outlier ratios</t>
  </si>
  <si>
    <t>P(10K subs in 24 months | 1K reached in 12)</t>
  </si>
  <si>
    <t>Judgment; no public cohort data found</t>
  </si>
  <si>
    <t>OUTPUTS</t>
  </si>
  <si>
    <t>P(1,000 subs within 12 months)</t>
  </si>
  <si>
    <t>Base × all multipliers, capped at 95%</t>
  </si>
  <si>
    <t>P(YouTube Partner Program within 12 months)</t>
  </si>
  <si>
    <t>1K subs AND 4,000 watch hours</t>
  </si>
  <si>
    <t>P(≥1 video with 100K+ views within 12 months)</t>
  </si>
  <si>
    <t>Breakout probability</t>
  </si>
  <si>
    <t>P(10,000 subs within 24 months)</t>
  </si>
  <si>
    <t>Conditional chain</t>
  </si>
  <si>
    <t>Read as rough planning odds, not forecasts. The biggest lever is consistency: the same base rate is 8.65% at 12–51 uploads/yr.</t>
  </si>
  <si>
    <t>Launch slate — first 12 long-form videos (+2–3 Shorts each)</t>
  </si>
  <si>
    <t>Order balances quick wins (timely TX) with compounding hero formats (FS/TM/WI/PL).</t>
  </si>
  <si>
    <t>#</t>
  </si>
  <si>
    <t>Target week</t>
  </si>
  <si>
    <t>Working title</t>
  </si>
  <si>
    <t>Thumbnail text (≤4 words)</t>
  </si>
  <si>
    <t>Why this slot</t>
  </si>
  <si>
    <t>W1 (≤27 Oct)</t>
  </si>
  <si>
    <t>The Tactics Behind [Clásico result] — Explained</t>
  </si>
  <si>
    <t>"THE ONE STEP"</t>
  </si>
  <si>
    <t>13 min</t>
  </si>
  <si>
    <t>Timely search spike after 25 Oct Clásico; post-match beats preview (evidence).</t>
  </si>
  <si>
    <t>W1</t>
  </si>
  <si>
    <t>Play Like Pedri: The 3 Habits Nobody Teaches</t>
  </si>
  <si>
    <t>"SCAN BEFORE"</t>
  </si>
  <si>
    <t>10 min</t>
  </si>
  <si>
    <t>Evergreen search; highest outlier ratio format; easy animation.</t>
  </si>
  <si>
    <t>W2</t>
  </si>
  <si>
    <t>The 2-6: The Night Guardiola’s Barça Was Born</t>
  </si>
  <si>
    <t>"2-6"</t>
  </si>
  <si>
    <t>24 min</t>
  </si>
  <si>
    <t>No long-form narrative exists; only highlight reuploads (gap).</t>
  </si>
  <si>
    <t>W3</t>
  </si>
  <si>
    <t>Play Like Lamine Yamal: How to Beat a Defender Before the Touch</t>
  </si>
  <si>
    <t>"BEFORE THE TOUCH"</t>
  </si>
  <si>
    <t>Yamal search demand + education angle.</t>
  </si>
  <si>
    <t>W4</t>
  </si>
  <si>
    <t>The Full Story of Johan Cruyff at Barça (Illustrated)</t>
  </si>
  <si>
    <t>"HE BUILT BARÇA"</t>
  </si>
  <si>
    <t>35 min</t>
  </si>
  <si>
    <t>Hero: Cruyff docs pull millions; CC0 Anefo photos + illustration.</t>
  </si>
  <si>
    <t>W5</t>
  </si>
  <si>
    <t>What If Barça Had Kept Messi in 2021? We Simulated It</t>
  </si>
  <si>
    <t>"1,000 SEASONS"</t>
  </si>
  <si>
    <t>22 min</t>
  </si>
  <si>
    <t>What-if outlier format; transparent simulation is our twist.</t>
  </si>
  <si>
    <t>How Flick’s Barça Actually Works (System Explained)</t>
  </si>
  <si>
    <t>"THE HIGH LINE"</t>
  </si>
  <si>
    <t>15 min</t>
  </si>
  <si>
    <t>Evergreen-ish system explainer, updates each season.</t>
  </si>
  <si>
    <t>W6</t>
  </si>
  <si>
    <t>How Barça Escaped a €[X]bn Hole (and What It Cost)</t>
  </si>
  <si>
    <t>"THE LEVERS"</t>
  </si>
  <si>
    <t>18 min</t>
  </si>
  <si>
    <t>Business stories 14x; reported facts only.</t>
  </si>
  <si>
    <t>W7</t>
  </si>
  <si>
    <t>Play Like Frenkie de Jong / [current CM]: Carrying Through Pressure</t>
  </si>
  <si>
    <t>"BREAK THE PRESS"</t>
  </si>
  <si>
    <t>Keep weekly PL cadence.</t>
  </si>
  <si>
    <t>W8</t>
  </si>
  <si>
    <t>The 6-1: The Comeback That Made No Sense (Told by Fans)</t>
  </si>
  <si>
    <t>"6-1"</t>
  </si>
  <si>
    <t>Fan oral history as HUMAN segments.</t>
  </si>
  <si>
    <t>W9</t>
  </si>
  <si>
    <t>Something Strange Happens When [Barça player] Gets the Ball</t>
  </si>
  <si>
    <t>"WATCH HIS HIPS"</t>
  </si>
  <si>
    <t>Curiosity framing proven (Purist 345K).</t>
  </si>
  <si>
    <t>W10</t>
  </si>
  <si>
    <t>The Full Story of Ladislao Kubala: The Refugee Who Saved Barça</t>
  </si>
  <si>
    <t>"THE REFUGEE"</t>
  </si>
  <si>
    <t>30 min</t>
  </si>
  <si>
    <t>Under-covered in English (gap); strong human 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</si>
</sst>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x&quot;"/>
    <numFmt numFmtId="165" formatCode="0.0%"/>
    <numFmt numFmtId="166" formatCode="0.00&quot;x&quot;"/>
  </numFmts>
  <fonts count="12" x14ac:knownFonts="1">
    <font>
      <sz val="11"/>
      <color theme="1"/>
      <name val="Calibri"/>
      <family val="2"/>
      <scheme val="minor"/>
    </font>
    <font>
      <b/>
      <sz val="15"/>
      <name val="Arial"/>
    </font>
    <font>
      <i/>
      <sz val="9"/>
      <color rgb="FF607D8B"/>
      <name val="Arial"/>
    </font>
    <font>
      <b/>
      <sz val="11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1"/>
      <name val="Arial"/>
    </font>
    <font>
      <b/>
      <sz val="11"/>
      <color rgb="FF0000FF"/>
      <name val="Arial"/>
    </font>
    <font>
      <i/>
      <sz val="9"/>
      <name val="Arial"/>
    </font>
    <font>
      <sz val="11"/>
      <name val="Arial"/>
    </font>
    <font>
      <sz val="11"/>
      <color rgb="FF0000FF"/>
      <name val="Arial"/>
    </font>
    <font>
      <i/>
      <sz val="9"/>
      <color rgb="FFB71C1C"/>
      <name val="Arial"/>
    </font>
  </fonts>
  <fills count="4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6" fillId="0" borderId="0" xfId="0" applyFont="1"/>
    <xf numFmtId="164" fontId="0" fillId="0" borderId="0" xfId="0" applyNumberFormat="1"/>
    <xf numFmtId="9" fontId="7" fillId="3" borderId="0" xfId="0" applyNumberFormat="1" applyFont="1" applyFill="1" applyAlignment="1">
      <alignment horizontal="center"/>
    </xf>
    <xf numFmtId="9" fontId="0" fillId="0" borderId="0" xfId="0" applyNumberFormat="1"/>
    <xf numFmtId="0" fontId="8" fillId="0" borderId="0" xfId="0" applyFont="1"/>
    <xf numFmtId="0" fontId="5" fillId="0" borderId="1" xfId="0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0" fontId="9" fillId="0" borderId="0" xfId="0" applyFont="1"/>
    <xf numFmtId="165" fontId="10" fillId="3" borderId="0" xfId="0" applyNumberFormat="1" applyFont="1" applyFill="1" applyAlignment="1">
      <alignment horizontal="center"/>
    </xf>
    <xf numFmtId="166" fontId="10" fillId="3" borderId="0" xfId="0" applyNumberFormat="1" applyFont="1" applyFill="1" applyAlignment="1">
      <alignment horizontal="center"/>
    </xf>
    <xf numFmtId="9" fontId="6" fillId="0" borderId="0" xfId="0" applyNumberFormat="1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2" width="8" customWidth="1"/>
    <col min="3" max="3" width="13" customWidth="1"/>
    <col min="4" max="4" width="7" customWidth="1"/>
    <col min="6" max="6" width="26" customWidth="1"/>
    <col min="7" max="7" width="62" customWidth="1"/>
  </cols>
  <sheetData>
    <row r="1" spans="1:7" ht="19.5" x14ac:dyDescent="0.3">
      <c r="A1" s="1" t="s">
        <v>0</v>
      </c>
    </row>
    <row r="2" spans="1:7" x14ac:dyDescent="0.25">
      <c r="A2" s="2" t="s">
        <v>1</v>
      </c>
    </row>
    <row r="3" spans="1:7" ht="32.1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>
        <v>558616</v>
      </c>
      <c r="D4" s="4" t="s">
        <v>11</v>
      </c>
      <c r="E4" s="4" t="s">
        <v>12</v>
      </c>
      <c r="F4" s="4" t="s">
        <v>13</v>
      </c>
      <c r="G4" s="4" t="s">
        <v>14</v>
      </c>
    </row>
    <row r="5" spans="1:7" x14ac:dyDescent="0.25">
      <c r="A5" s="4" t="s">
        <v>9</v>
      </c>
      <c r="B5" s="4" t="s">
        <v>10</v>
      </c>
      <c r="C5" s="5">
        <v>2111272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1:7" ht="25.5" x14ac:dyDescent="0.25">
      <c r="A6" s="4" t="s">
        <v>9</v>
      </c>
      <c r="B6" s="4" t="s">
        <v>10</v>
      </c>
      <c r="C6" s="5">
        <v>89471</v>
      </c>
      <c r="D6" s="4" t="s">
        <v>19</v>
      </c>
      <c r="E6" s="4" t="s">
        <v>20</v>
      </c>
      <c r="F6" s="4" t="s">
        <v>21</v>
      </c>
      <c r="G6" s="4" t="s">
        <v>22</v>
      </c>
    </row>
    <row r="7" spans="1:7" x14ac:dyDescent="0.25">
      <c r="A7" s="4" t="s">
        <v>9</v>
      </c>
      <c r="B7" s="4" t="s">
        <v>10</v>
      </c>
      <c r="C7" s="5">
        <v>200950</v>
      </c>
      <c r="D7" s="4" t="s">
        <v>19</v>
      </c>
      <c r="E7" s="4" t="s">
        <v>23</v>
      </c>
      <c r="F7" s="4" t="s">
        <v>24</v>
      </c>
      <c r="G7" s="4" t="s">
        <v>25</v>
      </c>
    </row>
    <row r="8" spans="1:7" ht="25.5" x14ac:dyDescent="0.25">
      <c r="A8" s="4" t="s">
        <v>26</v>
      </c>
      <c r="B8" s="4" t="s">
        <v>27</v>
      </c>
      <c r="C8" s="5">
        <v>57738</v>
      </c>
      <c r="D8" s="4" t="s">
        <v>28</v>
      </c>
      <c r="E8" s="4" t="s">
        <v>29</v>
      </c>
      <c r="F8" s="4" t="s">
        <v>30</v>
      </c>
      <c r="G8" s="4" t="s">
        <v>31</v>
      </c>
    </row>
    <row r="9" spans="1:7" x14ac:dyDescent="0.25">
      <c r="A9" s="4" t="s">
        <v>26</v>
      </c>
      <c r="B9" s="4" t="s">
        <v>27</v>
      </c>
      <c r="C9" s="5">
        <v>240</v>
      </c>
      <c r="D9" s="4" t="s">
        <v>28</v>
      </c>
      <c r="E9" s="4" t="s">
        <v>32</v>
      </c>
      <c r="F9" s="4" t="s">
        <v>33</v>
      </c>
      <c r="G9" s="4" t="s">
        <v>34</v>
      </c>
    </row>
    <row r="10" spans="1:7" ht="25.5" x14ac:dyDescent="0.25">
      <c r="A10" s="4" t="s">
        <v>35</v>
      </c>
      <c r="B10" s="4" t="s">
        <v>10</v>
      </c>
      <c r="C10" s="5">
        <v>126628</v>
      </c>
      <c r="D10" s="4" t="s">
        <v>36</v>
      </c>
      <c r="E10" s="4" t="s">
        <v>37</v>
      </c>
      <c r="F10" s="4" t="s">
        <v>13</v>
      </c>
      <c r="G10" s="4" t="s">
        <v>38</v>
      </c>
    </row>
    <row r="11" spans="1:7" x14ac:dyDescent="0.25">
      <c r="A11" s="4" t="s">
        <v>39</v>
      </c>
      <c r="B11" s="4" t="s">
        <v>40</v>
      </c>
      <c r="C11" s="5">
        <v>139956</v>
      </c>
      <c r="D11" s="4" t="s">
        <v>28</v>
      </c>
      <c r="E11" s="4" t="s">
        <v>41</v>
      </c>
      <c r="F11" s="4" t="s">
        <v>42</v>
      </c>
      <c r="G11" s="4" t="s">
        <v>43</v>
      </c>
    </row>
    <row r="12" spans="1:7" x14ac:dyDescent="0.25">
      <c r="A12" s="4" t="s">
        <v>39</v>
      </c>
      <c r="B12" s="4" t="s">
        <v>40</v>
      </c>
      <c r="C12" s="5">
        <v>153735</v>
      </c>
      <c r="D12" s="4" t="s">
        <v>19</v>
      </c>
      <c r="E12" s="4" t="s">
        <v>44</v>
      </c>
      <c r="F12" s="4" t="s">
        <v>45</v>
      </c>
      <c r="G12" s="4" t="s">
        <v>46</v>
      </c>
    </row>
    <row r="13" spans="1:7" x14ac:dyDescent="0.25">
      <c r="A13" s="4" t="s">
        <v>39</v>
      </c>
      <c r="B13" s="4" t="s">
        <v>40</v>
      </c>
      <c r="C13" s="5">
        <v>81826</v>
      </c>
      <c r="D13" s="4" t="s">
        <v>47</v>
      </c>
      <c r="E13" s="4" t="s">
        <v>48</v>
      </c>
      <c r="F13" s="4" t="s">
        <v>42</v>
      </c>
      <c r="G13" s="4" t="s">
        <v>49</v>
      </c>
    </row>
    <row r="14" spans="1:7" x14ac:dyDescent="0.25">
      <c r="A14" s="4" t="s">
        <v>50</v>
      </c>
      <c r="B14" s="4" t="s">
        <v>40</v>
      </c>
      <c r="C14" s="5">
        <v>344772</v>
      </c>
      <c r="D14" s="4" t="s">
        <v>51</v>
      </c>
      <c r="E14" s="4" t="s">
        <v>52</v>
      </c>
      <c r="F14" s="4" t="s">
        <v>24</v>
      </c>
      <c r="G14" s="4" t="s">
        <v>53</v>
      </c>
    </row>
    <row r="15" spans="1:7" x14ac:dyDescent="0.25">
      <c r="A15" s="4" t="s">
        <v>50</v>
      </c>
      <c r="B15" s="4" t="s">
        <v>40</v>
      </c>
      <c r="C15" s="5">
        <v>77561</v>
      </c>
      <c r="D15" s="4" t="s">
        <v>47</v>
      </c>
      <c r="E15" s="4" t="s">
        <v>54</v>
      </c>
      <c r="F15" s="4" t="s">
        <v>42</v>
      </c>
      <c r="G15" s="4" t="s">
        <v>55</v>
      </c>
    </row>
    <row r="16" spans="1:7" x14ac:dyDescent="0.25">
      <c r="A16" s="4" t="s">
        <v>56</v>
      </c>
      <c r="B16" s="4" t="s">
        <v>57</v>
      </c>
      <c r="C16" s="5">
        <v>544891</v>
      </c>
      <c r="D16" s="4" t="s">
        <v>19</v>
      </c>
      <c r="E16" s="4" t="s">
        <v>58</v>
      </c>
      <c r="F16" s="4" t="s">
        <v>59</v>
      </c>
      <c r="G16" s="4" t="s">
        <v>60</v>
      </c>
    </row>
    <row r="17" spans="1:7" x14ac:dyDescent="0.25">
      <c r="A17" s="4" t="s">
        <v>56</v>
      </c>
      <c r="B17" s="4" t="s">
        <v>57</v>
      </c>
      <c r="C17" s="5">
        <v>337418</v>
      </c>
      <c r="D17" s="4" t="s">
        <v>19</v>
      </c>
      <c r="E17" s="4" t="s">
        <v>61</v>
      </c>
      <c r="F17" s="4" t="s">
        <v>59</v>
      </c>
      <c r="G17" s="4" t="s">
        <v>62</v>
      </c>
    </row>
    <row r="18" spans="1:7" x14ac:dyDescent="0.25">
      <c r="A18" s="4" t="s">
        <v>63</v>
      </c>
      <c r="B18" s="4" t="s">
        <v>64</v>
      </c>
      <c r="C18" s="5">
        <v>1360496</v>
      </c>
      <c r="D18" s="4" t="s">
        <v>65</v>
      </c>
      <c r="E18" s="4" t="s">
        <v>66</v>
      </c>
      <c r="F18" s="4" t="s">
        <v>67</v>
      </c>
      <c r="G18" s="4" t="s">
        <v>68</v>
      </c>
    </row>
    <row r="19" spans="1:7" x14ac:dyDescent="0.25">
      <c r="A19" s="4" t="s">
        <v>63</v>
      </c>
      <c r="B19" s="4" t="s">
        <v>64</v>
      </c>
      <c r="C19" s="5">
        <v>3398679</v>
      </c>
      <c r="D19" s="4" t="s">
        <v>65</v>
      </c>
      <c r="E19" s="4" t="s">
        <v>69</v>
      </c>
      <c r="F19" s="4" t="s">
        <v>70</v>
      </c>
      <c r="G19" s="4" t="s">
        <v>71</v>
      </c>
    </row>
    <row r="20" spans="1:7" x14ac:dyDescent="0.25">
      <c r="A20" s="4" t="s">
        <v>63</v>
      </c>
      <c r="B20" s="4" t="s">
        <v>64</v>
      </c>
      <c r="C20" s="5">
        <v>238850</v>
      </c>
      <c r="D20" s="4" t="s">
        <v>15</v>
      </c>
      <c r="E20" s="4" t="s">
        <v>72</v>
      </c>
      <c r="F20" s="4" t="s">
        <v>73</v>
      </c>
      <c r="G20" s="4" t="s">
        <v>74</v>
      </c>
    </row>
    <row r="21" spans="1:7" x14ac:dyDescent="0.25">
      <c r="A21" s="4" t="s">
        <v>75</v>
      </c>
      <c r="B21" s="4" t="s">
        <v>64</v>
      </c>
      <c r="C21" s="5">
        <v>48551882</v>
      </c>
      <c r="D21" s="4" t="s">
        <v>19</v>
      </c>
      <c r="E21" s="4" t="s">
        <v>76</v>
      </c>
      <c r="F21" s="4" t="s">
        <v>77</v>
      </c>
      <c r="G21" s="4" t="s">
        <v>78</v>
      </c>
    </row>
    <row r="22" spans="1:7" x14ac:dyDescent="0.25">
      <c r="A22" s="4" t="s">
        <v>75</v>
      </c>
      <c r="B22" s="4" t="s">
        <v>64</v>
      </c>
      <c r="C22" s="5">
        <v>3331315</v>
      </c>
      <c r="D22" s="4" t="s">
        <v>19</v>
      </c>
      <c r="E22" s="4" t="s">
        <v>79</v>
      </c>
      <c r="F22" s="4" t="s">
        <v>77</v>
      </c>
      <c r="G22" s="4" t="s">
        <v>80</v>
      </c>
    </row>
    <row r="23" spans="1:7" x14ac:dyDescent="0.25">
      <c r="A23" s="4" t="s">
        <v>81</v>
      </c>
      <c r="B23" s="4" t="s">
        <v>64</v>
      </c>
      <c r="C23" s="5">
        <v>2032137</v>
      </c>
      <c r="D23" s="4" t="s">
        <v>82</v>
      </c>
      <c r="E23" s="4" t="s">
        <v>83</v>
      </c>
      <c r="F23" s="4" t="s">
        <v>67</v>
      </c>
      <c r="G23" s="4" t="s">
        <v>84</v>
      </c>
    </row>
    <row r="24" spans="1:7" x14ac:dyDescent="0.25">
      <c r="A24" s="4" t="s">
        <v>85</v>
      </c>
      <c r="B24" s="4" t="s">
        <v>64</v>
      </c>
      <c r="C24" s="5">
        <v>2033175</v>
      </c>
      <c r="D24" s="4" t="s">
        <v>86</v>
      </c>
      <c r="E24" s="4" t="s">
        <v>87</v>
      </c>
      <c r="F24" s="4" t="s">
        <v>67</v>
      </c>
      <c r="G24" s="4" t="s">
        <v>88</v>
      </c>
    </row>
    <row r="25" spans="1:7" x14ac:dyDescent="0.25">
      <c r="A25" s="4" t="s">
        <v>89</v>
      </c>
      <c r="B25" s="4" t="s">
        <v>90</v>
      </c>
      <c r="C25" s="5">
        <v>2863</v>
      </c>
      <c r="D25" s="4" t="s">
        <v>91</v>
      </c>
      <c r="E25" s="4" t="s">
        <v>92</v>
      </c>
      <c r="F25" s="4" t="s">
        <v>93</v>
      </c>
      <c r="G25" s="4" t="s">
        <v>94</v>
      </c>
    </row>
    <row r="26" spans="1:7" x14ac:dyDescent="0.25">
      <c r="A26" s="4" t="s">
        <v>95</v>
      </c>
      <c r="B26" s="4" t="s">
        <v>90</v>
      </c>
      <c r="C26" s="5">
        <v>219180</v>
      </c>
      <c r="D26" s="4" t="s">
        <v>96</v>
      </c>
      <c r="E26" s="4" t="s">
        <v>97</v>
      </c>
      <c r="F26" s="4" t="s">
        <v>98</v>
      </c>
      <c r="G26" s="4" t="s">
        <v>99</v>
      </c>
    </row>
    <row r="27" spans="1:7" x14ac:dyDescent="0.25">
      <c r="A27" s="4" t="s">
        <v>95</v>
      </c>
      <c r="B27" s="4" t="s">
        <v>90</v>
      </c>
      <c r="C27" s="5">
        <v>820797</v>
      </c>
      <c r="D27" s="4" t="s">
        <v>100</v>
      </c>
      <c r="E27" s="4" t="s">
        <v>101</v>
      </c>
      <c r="F27" s="4" t="s">
        <v>102</v>
      </c>
      <c r="G27" s="4" t="s">
        <v>103</v>
      </c>
    </row>
    <row r="28" spans="1:7" x14ac:dyDescent="0.25">
      <c r="A28" s="4" t="s">
        <v>104</v>
      </c>
      <c r="B28" s="4" t="s">
        <v>90</v>
      </c>
      <c r="C28" s="5">
        <v>511854</v>
      </c>
      <c r="D28" s="4" t="s">
        <v>96</v>
      </c>
      <c r="E28" s="4" t="s">
        <v>105</v>
      </c>
      <c r="F28" s="4" t="s">
        <v>98</v>
      </c>
      <c r="G28" s="4" t="s">
        <v>106</v>
      </c>
    </row>
    <row r="29" spans="1:7" x14ac:dyDescent="0.25">
      <c r="A29" s="4" t="s">
        <v>104</v>
      </c>
      <c r="B29" s="4" t="s">
        <v>90</v>
      </c>
      <c r="C29" s="5">
        <v>346960</v>
      </c>
      <c r="D29" s="4" t="s">
        <v>107</v>
      </c>
      <c r="E29" s="4" t="s">
        <v>108</v>
      </c>
      <c r="F29" s="4" t="s">
        <v>109</v>
      </c>
      <c r="G29" s="4" t="s">
        <v>110</v>
      </c>
    </row>
    <row r="30" spans="1:7" x14ac:dyDescent="0.25">
      <c r="A30" s="4" t="s">
        <v>111</v>
      </c>
      <c r="B30" s="4" t="s">
        <v>112</v>
      </c>
      <c r="C30" s="5">
        <v>924448</v>
      </c>
      <c r="D30" s="4" t="s">
        <v>19</v>
      </c>
      <c r="E30" s="4" t="s">
        <v>113</v>
      </c>
      <c r="F30" s="4" t="s">
        <v>114</v>
      </c>
      <c r="G30" s="4" t="s">
        <v>115</v>
      </c>
    </row>
    <row r="31" spans="1:7" x14ac:dyDescent="0.25">
      <c r="A31" s="4" t="s">
        <v>111</v>
      </c>
      <c r="B31" s="4" t="s">
        <v>112</v>
      </c>
      <c r="C31" s="5">
        <v>619233</v>
      </c>
      <c r="D31" s="4" t="s">
        <v>96</v>
      </c>
      <c r="E31" s="4" t="s">
        <v>116</v>
      </c>
      <c r="F31" s="4" t="s">
        <v>114</v>
      </c>
      <c r="G31" s="4" t="s">
        <v>117</v>
      </c>
    </row>
    <row r="32" spans="1:7" x14ac:dyDescent="0.25">
      <c r="A32" s="4" t="s">
        <v>118</v>
      </c>
      <c r="B32" s="4" t="s">
        <v>119</v>
      </c>
      <c r="C32" s="5">
        <v>1053281</v>
      </c>
      <c r="D32" s="4" t="s">
        <v>120</v>
      </c>
      <c r="E32" s="4" t="s">
        <v>121</v>
      </c>
      <c r="F32" s="4" t="s">
        <v>122</v>
      </c>
      <c r="G32" s="4" t="s">
        <v>123</v>
      </c>
    </row>
    <row r="33" spans="1:7" x14ac:dyDescent="0.25">
      <c r="A33" s="4" t="s">
        <v>118</v>
      </c>
      <c r="B33" s="4" t="s">
        <v>119</v>
      </c>
      <c r="C33" s="5">
        <v>750020</v>
      </c>
      <c r="D33" s="4" t="s">
        <v>19</v>
      </c>
      <c r="E33" s="4" t="s">
        <v>124</v>
      </c>
      <c r="F33" s="4" t="s">
        <v>125</v>
      </c>
      <c r="G33" s="4" t="s">
        <v>126</v>
      </c>
    </row>
    <row r="34" spans="1:7" x14ac:dyDescent="0.25">
      <c r="A34" s="4" t="s">
        <v>118</v>
      </c>
      <c r="B34" s="4" t="s">
        <v>119</v>
      </c>
      <c r="C34" s="5">
        <v>339587</v>
      </c>
      <c r="D34" s="4" t="s">
        <v>19</v>
      </c>
      <c r="E34" s="4" t="s">
        <v>127</v>
      </c>
      <c r="F34" s="4" t="s">
        <v>128</v>
      </c>
      <c r="G34" s="4" t="s">
        <v>129</v>
      </c>
    </row>
    <row r="35" spans="1:7" x14ac:dyDescent="0.25">
      <c r="A35" s="4" t="s">
        <v>118</v>
      </c>
      <c r="B35" s="4" t="s">
        <v>119</v>
      </c>
      <c r="C35" s="5">
        <v>203973</v>
      </c>
      <c r="D35" s="4" t="s">
        <v>130</v>
      </c>
      <c r="E35" s="4" t="s">
        <v>131</v>
      </c>
      <c r="F35" s="4" t="s">
        <v>42</v>
      </c>
      <c r="G35" s="4" t="s">
        <v>132</v>
      </c>
    </row>
    <row r="36" spans="1:7" x14ac:dyDescent="0.25">
      <c r="A36" s="4" t="s">
        <v>133</v>
      </c>
      <c r="B36" s="4" t="s">
        <v>119</v>
      </c>
      <c r="C36" s="5">
        <v>283253</v>
      </c>
      <c r="D36" s="4" t="s">
        <v>134</v>
      </c>
      <c r="E36" s="4" t="s">
        <v>135</v>
      </c>
      <c r="F36" s="4" t="s">
        <v>42</v>
      </c>
      <c r="G36" s="4" t="s">
        <v>136</v>
      </c>
    </row>
    <row r="37" spans="1:7" x14ac:dyDescent="0.25">
      <c r="A37" s="4" t="s">
        <v>133</v>
      </c>
      <c r="B37" s="4" t="s">
        <v>119</v>
      </c>
      <c r="C37" s="5">
        <v>279626</v>
      </c>
      <c r="D37" s="4" t="s">
        <v>107</v>
      </c>
      <c r="E37" s="4" t="s">
        <v>137</v>
      </c>
      <c r="F37" s="4" t="s">
        <v>122</v>
      </c>
      <c r="G37" s="4" t="s">
        <v>138</v>
      </c>
    </row>
    <row r="38" spans="1:7" x14ac:dyDescent="0.25">
      <c r="A38" s="4" t="s">
        <v>139</v>
      </c>
      <c r="B38" s="4" t="s">
        <v>140</v>
      </c>
      <c r="C38" s="5">
        <v>541651</v>
      </c>
      <c r="D38" s="4" t="s">
        <v>19</v>
      </c>
      <c r="E38" s="4" t="s">
        <v>141</v>
      </c>
      <c r="F38" s="4" t="s">
        <v>142</v>
      </c>
      <c r="G38" s="4" t="s">
        <v>143</v>
      </c>
    </row>
    <row r="39" spans="1:7" x14ac:dyDescent="0.25">
      <c r="A39" s="4" t="s">
        <v>139</v>
      </c>
      <c r="B39" s="4" t="s">
        <v>140</v>
      </c>
      <c r="C39" s="5">
        <v>36511</v>
      </c>
      <c r="D39" s="4" t="s">
        <v>28</v>
      </c>
      <c r="E39" s="4" t="s">
        <v>144</v>
      </c>
      <c r="F39" s="4" t="s">
        <v>145</v>
      </c>
      <c r="G39" s="4" t="s">
        <v>146</v>
      </c>
    </row>
    <row r="40" spans="1:7" x14ac:dyDescent="0.25">
      <c r="A40" s="4" t="s">
        <v>147</v>
      </c>
      <c r="B40" s="4" t="s">
        <v>10</v>
      </c>
      <c r="C40" s="5">
        <v>1188689</v>
      </c>
      <c r="D40" s="4" t="s">
        <v>96</v>
      </c>
      <c r="E40" s="4" t="s">
        <v>148</v>
      </c>
      <c r="F40" s="4" t="s">
        <v>13</v>
      </c>
      <c r="G40" s="4" t="s">
        <v>149</v>
      </c>
    </row>
    <row r="41" spans="1:7" x14ac:dyDescent="0.25">
      <c r="A41" s="4" t="s">
        <v>147</v>
      </c>
      <c r="B41" s="4" t="s">
        <v>10</v>
      </c>
      <c r="C41" s="5">
        <v>438267</v>
      </c>
      <c r="D41" s="4" t="s">
        <v>100</v>
      </c>
      <c r="E41" s="4" t="s">
        <v>150</v>
      </c>
      <c r="F41" s="4" t="s">
        <v>13</v>
      </c>
      <c r="G41" s="4" t="s">
        <v>151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2" width="13" customWidth="1"/>
    <col min="3" max="3" width="15" customWidth="1"/>
    <col min="5" max="5" width="12" customWidth="1"/>
    <col min="6" max="6" width="50" customWidth="1"/>
  </cols>
  <sheetData>
    <row r="1" spans="1:6" ht="19.5" x14ac:dyDescent="0.3">
      <c r="A1" s="1" t="s">
        <v>152</v>
      </c>
    </row>
    <row r="2" spans="1:6" x14ac:dyDescent="0.25">
      <c r="A2" s="2" t="s">
        <v>153</v>
      </c>
    </row>
    <row r="3" spans="1:6" ht="32.1" customHeight="1" x14ac:dyDescent="0.25">
      <c r="A3" s="3" t="s">
        <v>7</v>
      </c>
      <c r="B3" s="3" t="s">
        <v>154</v>
      </c>
      <c r="C3" s="3" t="s">
        <v>155</v>
      </c>
      <c r="D3" s="3" t="s">
        <v>3</v>
      </c>
      <c r="E3" s="3" t="s">
        <v>156</v>
      </c>
      <c r="F3" s="3" t="s">
        <v>157</v>
      </c>
    </row>
    <row r="4" spans="1:6" ht="25.5" x14ac:dyDescent="0.25">
      <c r="A4" s="4" t="s">
        <v>59</v>
      </c>
      <c r="B4" s="6">
        <v>15200</v>
      </c>
      <c r="C4" s="6">
        <v>544891</v>
      </c>
      <c r="D4" s="4" t="s">
        <v>57</v>
      </c>
      <c r="E4" s="7">
        <f t="shared" ref="E4:E16" si="0">C4/B4</f>
        <v>35.848092105263156</v>
      </c>
      <c r="F4" s="4" t="s">
        <v>158</v>
      </c>
    </row>
    <row r="5" spans="1:6" x14ac:dyDescent="0.25">
      <c r="A5" s="4" t="s">
        <v>77</v>
      </c>
      <c r="B5" s="6">
        <v>1360000</v>
      </c>
      <c r="C5" s="6">
        <v>48551882</v>
      </c>
      <c r="D5" s="4" t="s">
        <v>64</v>
      </c>
      <c r="E5" s="7">
        <f t="shared" si="0"/>
        <v>35.699913235294119</v>
      </c>
      <c r="F5" s="4" t="s">
        <v>159</v>
      </c>
    </row>
    <row r="6" spans="1:6" x14ac:dyDescent="0.25">
      <c r="A6" s="4" t="s">
        <v>128</v>
      </c>
      <c r="B6" s="6">
        <v>23800</v>
      </c>
      <c r="C6" s="6">
        <v>339587</v>
      </c>
      <c r="D6" s="4" t="s">
        <v>119</v>
      </c>
      <c r="E6" s="7">
        <f t="shared" si="0"/>
        <v>14.268361344537816</v>
      </c>
      <c r="F6" s="4" t="s">
        <v>160</v>
      </c>
    </row>
    <row r="7" spans="1:6" x14ac:dyDescent="0.25">
      <c r="A7" s="4" t="s">
        <v>114</v>
      </c>
      <c r="B7" s="6">
        <v>82700</v>
      </c>
      <c r="C7" s="6">
        <v>924448</v>
      </c>
      <c r="D7" s="4" t="s">
        <v>112</v>
      </c>
      <c r="E7" s="7">
        <f t="shared" si="0"/>
        <v>11.178331318016928</v>
      </c>
      <c r="F7" s="4" t="s">
        <v>161</v>
      </c>
    </row>
    <row r="8" spans="1:6" x14ac:dyDescent="0.25">
      <c r="A8" s="4" t="s">
        <v>98</v>
      </c>
      <c r="B8" s="6">
        <v>62100</v>
      </c>
      <c r="C8" s="6">
        <v>511854</v>
      </c>
      <c r="D8" s="4" t="s">
        <v>90</v>
      </c>
      <c r="E8" s="7">
        <f t="shared" si="0"/>
        <v>8.2424154589371987</v>
      </c>
      <c r="F8" s="4" t="s">
        <v>162</v>
      </c>
    </row>
    <row r="9" spans="1:6" x14ac:dyDescent="0.25">
      <c r="A9" s="4" t="s">
        <v>45</v>
      </c>
      <c r="B9" s="6">
        <v>61700</v>
      </c>
      <c r="C9" s="6">
        <v>153735</v>
      </c>
      <c r="D9" s="4" t="s">
        <v>40</v>
      </c>
      <c r="E9" s="7">
        <f t="shared" si="0"/>
        <v>2.4916531604538088</v>
      </c>
      <c r="F9" s="4" t="s">
        <v>163</v>
      </c>
    </row>
    <row r="10" spans="1:6" x14ac:dyDescent="0.25">
      <c r="A10" s="4" t="s">
        <v>42</v>
      </c>
      <c r="B10" s="6">
        <v>174000</v>
      </c>
      <c r="C10" s="6">
        <v>283253</v>
      </c>
      <c r="D10" s="4" t="s">
        <v>164</v>
      </c>
      <c r="E10" s="7">
        <f t="shared" si="0"/>
        <v>1.6278908045977012</v>
      </c>
      <c r="F10" s="4" t="s">
        <v>165</v>
      </c>
    </row>
    <row r="11" spans="1:6" x14ac:dyDescent="0.25">
      <c r="A11" s="4" t="s">
        <v>24</v>
      </c>
      <c r="B11" s="6">
        <v>228000</v>
      </c>
      <c r="C11" s="6">
        <v>344772</v>
      </c>
      <c r="D11" s="4" t="s">
        <v>40</v>
      </c>
      <c r="E11" s="7">
        <f t="shared" si="0"/>
        <v>1.5121578947368421</v>
      </c>
      <c r="F11" s="4" t="s">
        <v>166</v>
      </c>
    </row>
    <row r="12" spans="1:6" x14ac:dyDescent="0.25">
      <c r="A12" s="4" t="s">
        <v>17</v>
      </c>
      <c r="B12" s="6">
        <v>259000</v>
      </c>
      <c r="C12" s="6">
        <v>2111272</v>
      </c>
      <c r="D12" s="4" t="s">
        <v>10</v>
      </c>
      <c r="E12" s="7">
        <f t="shared" si="0"/>
        <v>8.1516293436293434</v>
      </c>
      <c r="F12" s="4" t="s">
        <v>167</v>
      </c>
    </row>
    <row r="13" spans="1:6" x14ac:dyDescent="0.25">
      <c r="A13" s="4" t="s">
        <v>67</v>
      </c>
      <c r="B13" s="6">
        <v>196000</v>
      </c>
      <c r="C13" s="6">
        <v>2033175</v>
      </c>
      <c r="D13" s="4" t="s">
        <v>64</v>
      </c>
      <c r="E13" s="7">
        <f t="shared" si="0"/>
        <v>10.373341836734694</v>
      </c>
      <c r="F13" s="4" t="s">
        <v>168</v>
      </c>
    </row>
    <row r="14" spans="1:6" x14ac:dyDescent="0.25">
      <c r="A14" s="4" t="s">
        <v>13</v>
      </c>
      <c r="B14" s="6">
        <v>805000</v>
      </c>
      <c r="C14" s="6">
        <v>558616</v>
      </c>
      <c r="D14" s="4" t="s">
        <v>10</v>
      </c>
      <c r="E14" s="7">
        <f t="shared" si="0"/>
        <v>0.69393291925465839</v>
      </c>
      <c r="F14" s="4" t="s">
        <v>169</v>
      </c>
    </row>
    <row r="15" spans="1:6" x14ac:dyDescent="0.25">
      <c r="A15" s="4" t="s">
        <v>30</v>
      </c>
      <c r="B15" s="6">
        <v>618000</v>
      </c>
      <c r="C15" s="6">
        <v>57738</v>
      </c>
      <c r="D15" s="4" t="s">
        <v>27</v>
      </c>
      <c r="E15" s="7">
        <f t="shared" si="0"/>
        <v>9.3427184466019414E-2</v>
      </c>
      <c r="F15" s="4" t="s">
        <v>170</v>
      </c>
    </row>
    <row r="16" spans="1:6" x14ac:dyDescent="0.25">
      <c r="A16" s="4" t="s">
        <v>171</v>
      </c>
      <c r="B16" s="6">
        <v>38900</v>
      </c>
      <c r="C16" s="6">
        <v>11521</v>
      </c>
      <c r="D16" s="4" t="s">
        <v>119</v>
      </c>
      <c r="E16" s="7">
        <f t="shared" si="0"/>
        <v>0.29616966580976861</v>
      </c>
      <c r="F16" s="4" t="s">
        <v>172</v>
      </c>
    </row>
    <row r="18" spans="1:5" x14ac:dyDescent="0.25">
      <c r="A18" s="8" t="s">
        <v>173</v>
      </c>
      <c r="E18" s="9">
        <f>MEDIAN(E4:E16)</f>
        <v>8.1516293436293434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34" customWidth="1"/>
    <col min="2" max="9" width="13" customWidth="1"/>
    <col min="10" max="10" width="11" customWidth="1"/>
    <col min="11" max="11" width="8" customWidth="1"/>
    <col min="12" max="12" width="14" customWidth="1"/>
    <col min="13" max="13" width="46" customWidth="1"/>
  </cols>
  <sheetData>
    <row r="1" spans="1:13" ht="19.5" x14ac:dyDescent="0.3">
      <c r="A1" s="1" t="s">
        <v>174</v>
      </c>
    </row>
    <row r="2" spans="1:13" x14ac:dyDescent="0.25">
      <c r="A2" s="2" t="s">
        <v>175</v>
      </c>
    </row>
    <row r="4" spans="1:13" x14ac:dyDescent="0.25">
      <c r="A4" s="8" t="s">
        <v>176</v>
      </c>
      <c r="B4" s="10">
        <v>0.2</v>
      </c>
      <c r="C4" s="10">
        <v>0.2</v>
      </c>
      <c r="D4" s="10">
        <v>0.1</v>
      </c>
      <c r="E4" s="10">
        <v>0.15</v>
      </c>
      <c r="F4" s="10">
        <v>0.1</v>
      </c>
      <c r="G4" s="10">
        <v>0.1</v>
      </c>
      <c r="H4" s="10">
        <v>0.1</v>
      </c>
      <c r="I4" s="10">
        <v>0.05</v>
      </c>
      <c r="J4" s="11">
        <f>SUM(B4:I4)</f>
        <v>1</v>
      </c>
    </row>
    <row r="5" spans="1:13" x14ac:dyDescent="0.25">
      <c r="A5" s="12" t="s">
        <v>177</v>
      </c>
    </row>
    <row r="6" spans="1:13" ht="32.1" customHeight="1" x14ac:dyDescent="0.25">
      <c r="A6" s="3" t="s">
        <v>3</v>
      </c>
      <c r="B6" s="3" t="s">
        <v>178</v>
      </c>
      <c r="C6" s="3" t="s">
        <v>179</v>
      </c>
      <c r="D6" s="3" t="s">
        <v>180</v>
      </c>
      <c r="E6" s="3" t="s">
        <v>181</v>
      </c>
      <c r="F6" s="3" t="s">
        <v>182</v>
      </c>
      <c r="G6" s="3" t="s">
        <v>183</v>
      </c>
      <c r="H6" s="3" t="s">
        <v>184</v>
      </c>
      <c r="I6" s="3" t="s">
        <v>185</v>
      </c>
      <c r="J6" s="3" t="s">
        <v>186</v>
      </c>
      <c r="K6" s="3" t="s">
        <v>187</v>
      </c>
      <c r="L6" s="3" t="s">
        <v>188</v>
      </c>
      <c r="M6" s="3" t="s">
        <v>189</v>
      </c>
    </row>
    <row r="7" spans="1:13" ht="33.950000000000003" customHeight="1" x14ac:dyDescent="0.25">
      <c r="A7" s="4" t="s">
        <v>190</v>
      </c>
      <c r="B7" s="13">
        <v>5</v>
      </c>
      <c r="C7" s="13">
        <v>5</v>
      </c>
      <c r="D7" s="13">
        <v>3</v>
      </c>
      <c r="E7" s="13">
        <v>4</v>
      </c>
      <c r="F7" s="13">
        <v>2</v>
      </c>
      <c r="G7" s="13">
        <v>4</v>
      </c>
      <c r="H7" s="13">
        <v>5</v>
      </c>
      <c r="I7" s="13">
        <v>5</v>
      </c>
      <c r="J7" s="14">
        <f t="shared" ref="J7:J16" si="0">SUMPRODUCT(B7:I7,$B$4:$I$4)</f>
        <v>4.25</v>
      </c>
      <c r="K7" s="4">
        <f t="shared" ref="K7:K16" si="1">RANK(J7,$J$7:$J$16)</f>
        <v>2</v>
      </c>
      <c r="L7" s="4" t="s">
        <v>191</v>
      </c>
      <c r="M7" s="4" t="s">
        <v>192</v>
      </c>
    </row>
    <row r="8" spans="1:13" ht="33.950000000000003" customHeight="1" x14ac:dyDescent="0.25">
      <c r="A8" s="4" t="s">
        <v>193</v>
      </c>
      <c r="B8" s="13">
        <v>4</v>
      </c>
      <c r="C8" s="13">
        <v>4</v>
      </c>
      <c r="D8" s="13">
        <v>4</v>
      </c>
      <c r="E8" s="13">
        <v>5</v>
      </c>
      <c r="F8" s="13">
        <v>3</v>
      </c>
      <c r="G8" s="13">
        <v>5</v>
      </c>
      <c r="H8" s="13">
        <v>5</v>
      </c>
      <c r="I8" s="13">
        <v>4</v>
      </c>
      <c r="J8" s="14">
        <f t="shared" si="0"/>
        <v>4.25</v>
      </c>
      <c r="K8" s="4">
        <f t="shared" si="1"/>
        <v>2</v>
      </c>
      <c r="L8" s="4" t="s">
        <v>194</v>
      </c>
      <c r="M8" s="4" t="s">
        <v>195</v>
      </c>
    </row>
    <row r="9" spans="1:13" ht="33.950000000000003" customHeight="1" x14ac:dyDescent="0.25">
      <c r="A9" s="4" t="s">
        <v>196</v>
      </c>
      <c r="B9" s="13">
        <v>4</v>
      </c>
      <c r="C9" s="13">
        <v>4</v>
      </c>
      <c r="D9" s="13">
        <v>3</v>
      </c>
      <c r="E9" s="13">
        <v>5</v>
      </c>
      <c r="F9" s="13">
        <v>3</v>
      </c>
      <c r="G9" s="13">
        <v>5</v>
      </c>
      <c r="H9" s="13">
        <v>4</v>
      </c>
      <c r="I9" s="13">
        <v>4</v>
      </c>
      <c r="J9" s="14">
        <f t="shared" si="0"/>
        <v>4.05</v>
      </c>
      <c r="K9" s="4">
        <f t="shared" si="1"/>
        <v>4</v>
      </c>
      <c r="L9" s="4" t="s">
        <v>197</v>
      </c>
      <c r="M9" s="4" t="s">
        <v>198</v>
      </c>
    </row>
    <row r="10" spans="1:13" ht="33.950000000000003" customHeight="1" x14ac:dyDescent="0.25">
      <c r="A10" s="4" t="s">
        <v>199</v>
      </c>
      <c r="B10" s="13">
        <v>4</v>
      </c>
      <c r="C10" s="13">
        <v>5</v>
      </c>
      <c r="D10" s="13">
        <v>4</v>
      </c>
      <c r="E10" s="13">
        <v>5</v>
      </c>
      <c r="F10" s="13">
        <v>4</v>
      </c>
      <c r="G10" s="13">
        <v>5</v>
      </c>
      <c r="H10" s="13">
        <v>5</v>
      </c>
      <c r="I10" s="13">
        <v>5</v>
      </c>
      <c r="J10" s="14">
        <f t="shared" si="0"/>
        <v>4.5999999999999996</v>
      </c>
      <c r="K10" s="4">
        <f t="shared" si="1"/>
        <v>1</v>
      </c>
      <c r="L10" s="4" t="s">
        <v>200</v>
      </c>
      <c r="M10" s="4" t="s">
        <v>201</v>
      </c>
    </row>
    <row r="11" spans="1:13" ht="33.950000000000003" customHeight="1" x14ac:dyDescent="0.25">
      <c r="A11" s="4" t="s">
        <v>202</v>
      </c>
      <c r="B11" s="13">
        <v>5</v>
      </c>
      <c r="C11" s="13">
        <v>3</v>
      </c>
      <c r="D11" s="13">
        <v>2</v>
      </c>
      <c r="E11" s="13">
        <v>5</v>
      </c>
      <c r="F11" s="13">
        <v>3</v>
      </c>
      <c r="G11" s="13">
        <v>5</v>
      </c>
      <c r="H11" s="13">
        <v>3</v>
      </c>
      <c r="I11" s="13">
        <v>4</v>
      </c>
      <c r="J11" s="14">
        <f t="shared" si="0"/>
        <v>3.8499999999999996</v>
      </c>
      <c r="K11" s="4">
        <f t="shared" si="1"/>
        <v>5</v>
      </c>
      <c r="L11" s="4" t="s">
        <v>203</v>
      </c>
      <c r="M11" s="4" t="s">
        <v>204</v>
      </c>
    </row>
    <row r="12" spans="1:13" ht="33.950000000000003" customHeight="1" x14ac:dyDescent="0.25">
      <c r="A12" s="4" t="s">
        <v>205</v>
      </c>
      <c r="B12" s="13">
        <v>4</v>
      </c>
      <c r="C12" s="13">
        <v>4</v>
      </c>
      <c r="D12" s="13">
        <v>3</v>
      </c>
      <c r="E12" s="13">
        <v>4</v>
      </c>
      <c r="F12" s="13">
        <v>4</v>
      </c>
      <c r="G12" s="13">
        <v>4</v>
      </c>
      <c r="H12" s="13">
        <v>4</v>
      </c>
      <c r="I12" s="13">
        <v>3</v>
      </c>
      <c r="J12" s="14">
        <f t="shared" si="0"/>
        <v>3.8499999999999996</v>
      </c>
      <c r="K12" s="4">
        <f t="shared" si="1"/>
        <v>5</v>
      </c>
      <c r="L12" s="4" t="s">
        <v>206</v>
      </c>
      <c r="M12" s="4" t="s">
        <v>207</v>
      </c>
    </row>
    <row r="13" spans="1:13" ht="33.950000000000003" customHeight="1" x14ac:dyDescent="0.25">
      <c r="A13" s="4" t="s">
        <v>208</v>
      </c>
      <c r="B13" s="13">
        <v>4</v>
      </c>
      <c r="C13" s="13">
        <v>2</v>
      </c>
      <c r="D13" s="13">
        <v>2</v>
      </c>
      <c r="E13" s="13">
        <v>4</v>
      </c>
      <c r="F13" s="13">
        <v>3</v>
      </c>
      <c r="G13" s="13">
        <v>4</v>
      </c>
      <c r="H13" s="13">
        <v>3</v>
      </c>
      <c r="I13" s="13">
        <v>4</v>
      </c>
      <c r="J13" s="14">
        <f t="shared" si="0"/>
        <v>3.2</v>
      </c>
      <c r="K13" s="4">
        <f t="shared" si="1"/>
        <v>7</v>
      </c>
      <c r="L13" s="4" t="s">
        <v>209</v>
      </c>
      <c r="M13" s="4" t="s">
        <v>210</v>
      </c>
    </row>
    <row r="14" spans="1:13" ht="33.950000000000003" customHeight="1" x14ac:dyDescent="0.25">
      <c r="A14" s="4" t="s">
        <v>211</v>
      </c>
      <c r="B14" s="13">
        <v>2</v>
      </c>
      <c r="C14" s="13">
        <v>1</v>
      </c>
      <c r="D14" s="13">
        <v>1</v>
      </c>
      <c r="E14" s="13">
        <v>3</v>
      </c>
      <c r="F14" s="13">
        <v>4</v>
      </c>
      <c r="G14" s="13">
        <v>4</v>
      </c>
      <c r="H14" s="13">
        <v>1</v>
      </c>
      <c r="I14" s="13">
        <v>2</v>
      </c>
      <c r="J14" s="14">
        <f t="shared" si="0"/>
        <v>2.15</v>
      </c>
      <c r="K14" s="4">
        <f t="shared" si="1"/>
        <v>10</v>
      </c>
      <c r="L14" s="4" t="s">
        <v>212</v>
      </c>
      <c r="M14" s="4" t="s">
        <v>213</v>
      </c>
    </row>
    <row r="15" spans="1:13" ht="33.950000000000003" customHeight="1" x14ac:dyDescent="0.25">
      <c r="A15" s="4" t="s">
        <v>214</v>
      </c>
      <c r="B15" s="13">
        <v>3</v>
      </c>
      <c r="C15" s="13">
        <v>2</v>
      </c>
      <c r="D15" s="13">
        <v>1</v>
      </c>
      <c r="E15" s="13">
        <v>2</v>
      </c>
      <c r="F15" s="13">
        <v>3</v>
      </c>
      <c r="G15" s="13">
        <v>2</v>
      </c>
      <c r="H15" s="13">
        <v>3</v>
      </c>
      <c r="I15" s="13">
        <v>3</v>
      </c>
      <c r="J15" s="14">
        <f t="shared" si="0"/>
        <v>2.35</v>
      </c>
      <c r="K15" s="4">
        <f t="shared" si="1"/>
        <v>9</v>
      </c>
      <c r="L15" s="4" t="s">
        <v>212</v>
      </c>
      <c r="M15" s="4" t="s">
        <v>215</v>
      </c>
    </row>
    <row r="16" spans="1:13" ht="33.950000000000003" customHeight="1" x14ac:dyDescent="0.25">
      <c r="A16" s="4" t="s">
        <v>216</v>
      </c>
      <c r="B16" s="13">
        <v>2</v>
      </c>
      <c r="C16" s="13">
        <v>2</v>
      </c>
      <c r="D16" s="13">
        <v>5</v>
      </c>
      <c r="E16" s="13">
        <v>4</v>
      </c>
      <c r="F16" s="13">
        <v>3</v>
      </c>
      <c r="G16" s="13">
        <v>3</v>
      </c>
      <c r="H16" s="13">
        <v>4</v>
      </c>
      <c r="I16" s="13">
        <v>3</v>
      </c>
      <c r="J16" s="14">
        <f t="shared" si="0"/>
        <v>3.05</v>
      </c>
      <c r="K16" s="4">
        <f t="shared" si="1"/>
        <v>8</v>
      </c>
      <c r="L16" s="4" t="s">
        <v>217</v>
      </c>
      <c r="M16" s="4" t="s">
        <v>218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 x14ac:dyDescent="0.25"/>
  <cols>
    <col min="1" max="1" width="52" customWidth="1"/>
    <col min="2" max="2" width="12" customWidth="1"/>
    <col min="3" max="3" width="70" customWidth="1"/>
  </cols>
  <sheetData>
    <row r="1" spans="1:3" ht="19.5" x14ac:dyDescent="0.3">
      <c r="A1" s="1" t="s">
        <v>219</v>
      </c>
    </row>
    <row r="2" spans="1:3" x14ac:dyDescent="0.25">
      <c r="A2" s="2" t="s">
        <v>220</v>
      </c>
    </row>
    <row r="4" spans="1:3" x14ac:dyDescent="0.25">
      <c r="A4" s="8" t="s">
        <v>221</v>
      </c>
      <c r="C4" s="2" t="s">
        <v>222</v>
      </c>
    </row>
    <row r="5" spans="1:3" x14ac:dyDescent="0.25">
      <c r="A5" s="15" t="s">
        <v>223</v>
      </c>
      <c r="B5" s="16">
        <v>0.30769999999999997</v>
      </c>
      <c r="C5" s="2" t="s">
        <v>224</v>
      </c>
    </row>
    <row r="6" spans="1:3" x14ac:dyDescent="0.25">
      <c r="A6" s="15" t="s">
        <v>225</v>
      </c>
      <c r="B6" s="17">
        <v>1.25</v>
      </c>
      <c r="C6" s="2" t="s">
        <v>226</v>
      </c>
    </row>
    <row r="7" spans="1:3" x14ac:dyDescent="0.25">
      <c r="A7" s="15" t="s">
        <v>227</v>
      </c>
      <c r="B7" s="17">
        <v>1.25</v>
      </c>
      <c r="C7" s="2" t="s">
        <v>228</v>
      </c>
    </row>
    <row r="8" spans="1:3" x14ac:dyDescent="0.25">
      <c r="A8" s="15" t="s">
        <v>229</v>
      </c>
      <c r="B8" s="17">
        <v>0.8</v>
      </c>
      <c r="C8" s="2" t="s">
        <v>230</v>
      </c>
    </row>
    <row r="9" spans="1:3" x14ac:dyDescent="0.25">
      <c r="A9" s="15" t="s">
        <v>231</v>
      </c>
      <c r="B9" s="17">
        <v>1.1499999999999999</v>
      </c>
      <c r="C9" s="2" t="s">
        <v>232</v>
      </c>
    </row>
    <row r="10" spans="1:3" x14ac:dyDescent="0.25">
      <c r="A10" s="15" t="s">
        <v>233</v>
      </c>
      <c r="B10" s="16">
        <v>0.65</v>
      </c>
      <c r="C10" s="2" t="s">
        <v>234</v>
      </c>
    </row>
    <row r="11" spans="1:3" x14ac:dyDescent="0.25">
      <c r="A11" s="15" t="s">
        <v>235</v>
      </c>
      <c r="B11" s="16">
        <v>0.12</v>
      </c>
      <c r="C11" s="2" t="s">
        <v>236</v>
      </c>
    </row>
    <row r="12" spans="1:3" x14ac:dyDescent="0.25">
      <c r="A12" s="15" t="s">
        <v>237</v>
      </c>
      <c r="B12" s="17">
        <v>1.6</v>
      </c>
      <c r="C12" s="2" t="s">
        <v>238</v>
      </c>
    </row>
    <row r="13" spans="1:3" x14ac:dyDescent="0.25">
      <c r="A13" s="15" t="s">
        <v>239</v>
      </c>
      <c r="B13" s="16">
        <v>0.35</v>
      </c>
      <c r="C13" s="2" t="s">
        <v>240</v>
      </c>
    </row>
    <row r="14" spans="1:3" x14ac:dyDescent="0.25">
      <c r="A14" s="8" t="s">
        <v>222</v>
      </c>
      <c r="C14" s="2" t="s">
        <v>222</v>
      </c>
    </row>
    <row r="15" spans="1:3" x14ac:dyDescent="0.25">
      <c r="A15" s="8" t="s">
        <v>241</v>
      </c>
      <c r="C15" s="2" t="s">
        <v>222</v>
      </c>
    </row>
    <row r="16" spans="1:3" x14ac:dyDescent="0.25">
      <c r="A16" s="8" t="s">
        <v>242</v>
      </c>
      <c r="B16" s="18">
        <f>MIN(0.95,B5*B6*B7*B8*B9)</f>
        <v>0.44231874999999998</v>
      </c>
      <c r="C16" s="12" t="s">
        <v>243</v>
      </c>
    </row>
    <row r="17" spans="1:3" x14ac:dyDescent="0.25">
      <c r="A17" s="8" t="s">
        <v>244</v>
      </c>
      <c r="B17" s="18">
        <f>B16*B10</f>
        <v>0.28750718749999998</v>
      </c>
      <c r="C17" s="12" t="s">
        <v>245</v>
      </c>
    </row>
    <row r="18" spans="1:3" x14ac:dyDescent="0.25">
      <c r="A18" s="8" t="s">
        <v>246</v>
      </c>
      <c r="B18" s="18">
        <f>MIN(0.95,B11*B12)</f>
        <v>0.192</v>
      </c>
      <c r="C18" s="12" t="s">
        <v>247</v>
      </c>
    </row>
    <row r="19" spans="1:3" x14ac:dyDescent="0.25">
      <c r="A19" s="8" t="s">
        <v>248</v>
      </c>
      <c r="B19" s="18">
        <f>B16*B13</f>
        <v>0.15481156249999997</v>
      </c>
      <c r="C19" s="12" t="s">
        <v>249</v>
      </c>
    </row>
    <row r="21" spans="1:3" x14ac:dyDescent="0.25">
      <c r="A21" s="19" t="s">
        <v>250</v>
      </c>
      <c r="B21" s="19"/>
      <c r="C21" s="19"/>
    </row>
  </sheetData>
  <mergeCells count="1">
    <mergeCell ref="A21:C2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2" customWidth="1"/>
    <col min="3" max="3" width="8" customWidth="1"/>
    <col min="4" max="4" width="54" customWidth="1"/>
    <col min="5" max="5" width="30" customWidth="1"/>
    <col min="6" max="6" width="10" customWidth="1"/>
    <col min="7" max="7" width="48" customWidth="1"/>
  </cols>
  <sheetData>
    <row r="1" spans="1:7" ht="19.5" x14ac:dyDescent="0.3">
      <c r="A1" s="1" t="s">
        <v>251</v>
      </c>
    </row>
    <row r="2" spans="1:7" x14ac:dyDescent="0.25">
      <c r="A2" s="2" t="s">
        <v>252</v>
      </c>
    </row>
    <row r="3" spans="1:7" ht="32.1" customHeight="1" x14ac:dyDescent="0.25">
      <c r="A3" s="3" t="s">
        <v>253</v>
      </c>
      <c r="B3" s="3" t="s">
        <v>254</v>
      </c>
      <c r="C3" s="3" t="s">
        <v>3</v>
      </c>
      <c r="D3" s="3" t="s">
        <v>255</v>
      </c>
      <c r="E3" s="3" t="s">
        <v>256</v>
      </c>
      <c r="F3" s="3" t="s">
        <v>6</v>
      </c>
      <c r="G3" s="3" t="s">
        <v>257</v>
      </c>
    </row>
    <row r="4" spans="1:7" ht="30" customHeight="1" x14ac:dyDescent="0.25">
      <c r="A4" s="4">
        <v>1</v>
      </c>
      <c r="B4" s="4" t="s">
        <v>258</v>
      </c>
      <c r="C4" s="4" t="s">
        <v>10</v>
      </c>
      <c r="D4" s="4" t="s">
        <v>259</v>
      </c>
      <c r="E4" s="4" t="s">
        <v>260</v>
      </c>
      <c r="F4" s="4" t="s">
        <v>261</v>
      </c>
      <c r="G4" s="4" t="s">
        <v>262</v>
      </c>
    </row>
    <row r="5" spans="1:7" ht="30" customHeight="1" x14ac:dyDescent="0.25">
      <c r="A5" s="4">
        <v>2</v>
      </c>
      <c r="B5" s="4" t="s">
        <v>263</v>
      </c>
      <c r="C5" s="4" t="s">
        <v>57</v>
      </c>
      <c r="D5" s="4" t="s">
        <v>264</v>
      </c>
      <c r="E5" s="4" t="s">
        <v>265</v>
      </c>
      <c r="F5" s="4" t="s">
        <v>266</v>
      </c>
      <c r="G5" s="4" t="s">
        <v>267</v>
      </c>
    </row>
    <row r="6" spans="1:7" ht="30" customHeight="1" x14ac:dyDescent="0.25">
      <c r="A6" s="4">
        <v>3</v>
      </c>
      <c r="B6" s="4" t="s">
        <v>268</v>
      </c>
      <c r="C6" s="4" t="s">
        <v>90</v>
      </c>
      <c r="D6" s="4" t="s">
        <v>269</v>
      </c>
      <c r="E6" s="4" t="s">
        <v>270</v>
      </c>
      <c r="F6" s="4" t="s">
        <v>271</v>
      </c>
      <c r="G6" s="4" t="s">
        <v>272</v>
      </c>
    </row>
    <row r="7" spans="1:7" ht="30" customHeight="1" x14ac:dyDescent="0.25">
      <c r="A7" s="4">
        <v>4</v>
      </c>
      <c r="B7" s="4" t="s">
        <v>273</v>
      </c>
      <c r="C7" s="4" t="s">
        <v>57</v>
      </c>
      <c r="D7" s="4" t="s">
        <v>274</v>
      </c>
      <c r="E7" s="4" t="s">
        <v>275</v>
      </c>
      <c r="F7" s="4" t="s">
        <v>266</v>
      </c>
      <c r="G7" s="4" t="s">
        <v>276</v>
      </c>
    </row>
    <row r="8" spans="1:7" ht="30" customHeight="1" x14ac:dyDescent="0.25">
      <c r="A8" s="4">
        <v>5</v>
      </c>
      <c r="B8" s="4" t="s">
        <v>277</v>
      </c>
      <c r="C8" s="4" t="s">
        <v>64</v>
      </c>
      <c r="D8" s="4" t="s">
        <v>278</v>
      </c>
      <c r="E8" s="4" t="s">
        <v>279</v>
      </c>
      <c r="F8" s="4" t="s">
        <v>280</v>
      </c>
      <c r="G8" s="4" t="s">
        <v>281</v>
      </c>
    </row>
    <row r="9" spans="1:7" ht="30" customHeight="1" x14ac:dyDescent="0.25">
      <c r="A9" s="4">
        <v>6</v>
      </c>
      <c r="B9" s="4" t="s">
        <v>282</v>
      </c>
      <c r="C9" s="4" t="s">
        <v>112</v>
      </c>
      <c r="D9" s="4" t="s">
        <v>283</v>
      </c>
      <c r="E9" s="4" t="s">
        <v>284</v>
      </c>
      <c r="F9" s="4" t="s">
        <v>285</v>
      </c>
      <c r="G9" s="4" t="s">
        <v>286</v>
      </c>
    </row>
    <row r="10" spans="1:7" ht="30" customHeight="1" x14ac:dyDescent="0.25">
      <c r="A10" s="4">
        <v>7</v>
      </c>
      <c r="B10" s="4" t="s">
        <v>282</v>
      </c>
      <c r="C10" s="4" t="s">
        <v>10</v>
      </c>
      <c r="D10" s="4" t="s">
        <v>287</v>
      </c>
      <c r="E10" s="4" t="s">
        <v>288</v>
      </c>
      <c r="F10" s="4" t="s">
        <v>289</v>
      </c>
      <c r="G10" s="4" t="s">
        <v>290</v>
      </c>
    </row>
    <row r="11" spans="1:7" ht="30" customHeight="1" x14ac:dyDescent="0.25">
      <c r="A11" s="4">
        <v>8</v>
      </c>
      <c r="B11" s="4" t="s">
        <v>291</v>
      </c>
      <c r="C11" s="4" t="s">
        <v>119</v>
      </c>
      <c r="D11" s="4" t="s">
        <v>292</v>
      </c>
      <c r="E11" s="4" t="s">
        <v>293</v>
      </c>
      <c r="F11" s="4" t="s">
        <v>294</v>
      </c>
      <c r="G11" s="4" t="s">
        <v>295</v>
      </c>
    </row>
    <row r="12" spans="1:7" ht="30" customHeight="1" x14ac:dyDescent="0.25">
      <c r="A12" s="4">
        <v>9</v>
      </c>
      <c r="B12" s="4" t="s">
        <v>296</v>
      </c>
      <c r="C12" s="4" t="s">
        <v>57</v>
      </c>
      <c r="D12" s="4" t="s">
        <v>297</v>
      </c>
      <c r="E12" s="4" t="s">
        <v>298</v>
      </c>
      <c r="F12" s="4" t="s">
        <v>266</v>
      </c>
      <c r="G12" s="4" t="s">
        <v>299</v>
      </c>
    </row>
    <row r="13" spans="1:7" ht="30" customHeight="1" x14ac:dyDescent="0.25">
      <c r="A13" s="4">
        <v>10</v>
      </c>
      <c r="B13" s="4" t="s">
        <v>300</v>
      </c>
      <c r="C13" s="4" t="s">
        <v>90</v>
      </c>
      <c r="D13" s="4" t="s">
        <v>301</v>
      </c>
      <c r="E13" s="4" t="s">
        <v>302</v>
      </c>
      <c r="F13" s="4" t="s">
        <v>285</v>
      </c>
      <c r="G13" s="4" t="s">
        <v>303</v>
      </c>
    </row>
    <row r="14" spans="1:7" ht="30" customHeight="1" x14ac:dyDescent="0.25">
      <c r="A14" s="4">
        <v>11</v>
      </c>
      <c r="B14" s="4" t="s">
        <v>304</v>
      </c>
      <c r="C14" s="4" t="s">
        <v>40</v>
      </c>
      <c r="D14" s="4" t="s">
        <v>305</v>
      </c>
      <c r="E14" s="4" t="s">
        <v>306</v>
      </c>
      <c r="F14" s="4" t="s">
        <v>261</v>
      </c>
      <c r="G14" s="4" t="s">
        <v>307</v>
      </c>
    </row>
    <row r="15" spans="1:7" ht="30" customHeight="1" x14ac:dyDescent="0.25">
      <c r="A15" s="4">
        <v>12</v>
      </c>
      <c r="B15" s="4" t="s">
        <v>308</v>
      </c>
      <c r="C15" s="4" t="s">
        <v>64</v>
      </c>
      <c r="D15" s="4" t="s">
        <v>309</v>
      </c>
      <c r="E15" s="4" t="s">
        <v>310</v>
      </c>
      <c r="F15" s="4" t="s">
        <v>311</v>
      </c>
      <c r="G15" s="4" t="s">
        <v>312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شواهد بازار</vt:lpstr>
      <vt:lpstr>بنچمارک کانال‌ها</vt:lpstr>
      <vt:lpstr>امتیاز فرمت‌ها</vt:lpstr>
      <vt:lpstr>مدل احتمال موفقیت</vt:lpstr>
      <vt:lpstr>تقویم ۱۲ ویدیوی اول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2026-10-14T23:43:53Z</dcterms:created>
  <dcterms:modified xsi:type="dcterms:W3CDTF">2026-10-14T23:44:01Z</dcterms:modified>
  <cp:category/>
</cp:coreProperties>
</file>