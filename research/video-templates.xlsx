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570" windowHeight="9615"/>
  </bookViews>
  <sheets>
    <sheet name="راهنما" sheetId="1" r:id="rId1"/>
    <sheet name="نمای برش‌ها" sheetId="2" r:id="rId2"/>
    <sheet name="مقایسه‌ی فرمت‌ها" sheetId="3" r:id="rId3"/>
    <sheet name="FS داستان کامل" sheetId="4" r:id="rId4"/>
    <sheet name="PL بازی مثل بارسا" sheetId="5" r:id="rId5"/>
    <sheet name="A تحلیل تاکتیکی" sheetId="6" r:id="rId6"/>
    <sheet name="B کالبدشکافی بازیکن" sheetId="7" r:id="rId7"/>
    <sheet name="C مستند تاریخی" sheetId="8" r:id="rId8"/>
    <sheet name="D سری تاریخی با عکس" sheetId="9" r:id="rId9"/>
    <sheet name="E تاریخ شفاهی هوادار" sheetId="10" r:id="rId10"/>
    <sheet name="F شبیه‌ساز «اگر…»" sheetId="11" r:id="rId11"/>
    <sheet name="G رتبه‌بندی" sheetId="12" r:id="rId12"/>
    <sheet name="H یک لحظه ده زاویه" sheetId="13" r:id="rId13"/>
    <sheet name="I شورتز مشتق" sheetId="14" r:id="rId14"/>
  </sheets>
  <calcPr calcId="162913"/>
</workbook>
</file>

<file path=xl/calcChain.xml><?xml version="1.0" encoding="utf-8"?>
<calcChain xmlns="http://schemas.openxmlformats.org/spreadsheetml/2006/main">
  <c r="D9" i="14" l="1"/>
  <c r="D8" i="14"/>
  <c r="D7" i="14"/>
  <c r="D6" i="14"/>
  <c r="D5" i="14"/>
  <c r="E3" i="14"/>
  <c r="B3" i="14"/>
  <c r="E9" i="14" s="1"/>
  <c r="D13" i="13"/>
  <c r="D12" i="13"/>
  <c r="D11" i="13"/>
  <c r="D10" i="13"/>
  <c r="D9" i="13"/>
  <c r="D8" i="13"/>
  <c r="D7" i="13"/>
  <c r="D6" i="13"/>
  <c r="D5" i="13"/>
  <c r="E3" i="13"/>
  <c r="B3" i="13"/>
  <c r="E13" i="13" s="1"/>
  <c r="D12" i="12"/>
  <c r="D11" i="12"/>
  <c r="D10" i="12"/>
  <c r="D9" i="12"/>
  <c r="D8" i="12"/>
  <c r="D7" i="12"/>
  <c r="D6" i="12"/>
  <c r="D5" i="12"/>
  <c r="E3" i="12"/>
  <c r="B3" i="12"/>
  <c r="E12" i="12" s="1"/>
  <c r="D13" i="11"/>
  <c r="D12" i="11"/>
  <c r="D11" i="11"/>
  <c r="D10" i="11"/>
  <c r="D9" i="11"/>
  <c r="D8" i="11"/>
  <c r="D7" i="11"/>
  <c r="D6" i="11"/>
  <c r="D5" i="11"/>
  <c r="E3" i="11"/>
  <c r="B3" i="11"/>
  <c r="E12" i="11" s="1"/>
  <c r="D13" i="10"/>
  <c r="D12" i="10"/>
  <c r="D11" i="10"/>
  <c r="D10" i="10"/>
  <c r="D9" i="10"/>
  <c r="D8" i="10"/>
  <c r="D7" i="10"/>
  <c r="D6" i="10"/>
  <c r="D5" i="10"/>
  <c r="E3" i="10"/>
  <c r="B3" i="10"/>
  <c r="E12" i="10" s="1"/>
  <c r="D14" i="9"/>
  <c r="D13" i="9"/>
  <c r="D12" i="9"/>
  <c r="D11" i="9"/>
  <c r="D10" i="9"/>
  <c r="D9" i="9"/>
  <c r="D8" i="9"/>
  <c r="D7" i="9"/>
  <c r="D6" i="9"/>
  <c r="D5" i="9"/>
  <c r="E3" i="9"/>
  <c r="B3" i="9"/>
  <c r="E13" i="9" s="1"/>
  <c r="D15" i="8"/>
  <c r="D14" i="8"/>
  <c r="D13" i="8"/>
  <c r="D12" i="8"/>
  <c r="D11" i="8"/>
  <c r="D10" i="8"/>
  <c r="D9" i="8"/>
  <c r="D8" i="8"/>
  <c r="D7" i="8"/>
  <c r="D6" i="8"/>
  <c r="D5" i="8"/>
  <c r="E3" i="8"/>
  <c r="B3" i="8"/>
  <c r="E15" i="8" s="1"/>
  <c r="D15" i="7"/>
  <c r="D14" i="7"/>
  <c r="D13" i="7"/>
  <c r="D12" i="7"/>
  <c r="D11" i="7"/>
  <c r="D10" i="7"/>
  <c r="D9" i="7"/>
  <c r="D8" i="7"/>
  <c r="D7" i="7"/>
  <c r="D6" i="7"/>
  <c r="D5" i="7"/>
  <c r="E3" i="7"/>
  <c r="B3" i="7"/>
  <c r="E15" i="7" s="1"/>
  <c r="D14" i="6"/>
  <c r="D13" i="6"/>
  <c r="D12" i="6"/>
  <c r="D11" i="6"/>
  <c r="D10" i="6"/>
  <c r="D9" i="6"/>
  <c r="D8" i="6"/>
  <c r="D7" i="6"/>
  <c r="D6" i="6"/>
  <c r="D5" i="6"/>
  <c r="E3" i="6"/>
  <c r="B3" i="6"/>
  <c r="E14" i="6" s="1"/>
  <c r="D13" i="5"/>
  <c r="D12" i="5"/>
  <c r="D11" i="5"/>
  <c r="D10" i="5"/>
  <c r="D9" i="5"/>
  <c r="D8" i="5"/>
  <c r="D7" i="5"/>
  <c r="D6" i="5"/>
  <c r="D5" i="5"/>
  <c r="E3" i="5"/>
  <c r="B3" i="5"/>
  <c r="E12" i="5" s="1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E3" i="4"/>
  <c r="B3" i="4"/>
  <c r="E16" i="4" s="1"/>
  <c r="J19" i="3"/>
  <c r="G19" i="3"/>
  <c r="C19" i="3"/>
  <c r="H19" i="3" s="1"/>
  <c r="J18" i="3"/>
  <c r="G18" i="3"/>
  <c r="C18" i="3"/>
  <c r="I18" i="3" s="1"/>
  <c r="J17" i="3"/>
  <c r="G17" i="3"/>
  <c r="C17" i="3"/>
  <c r="I17" i="3" s="1"/>
  <c r="J16" i="3"/>
  <c r="G16" i="3"/>
  <c r="C16" i="3"/>
  <c r="I16" i="3" s="1"/>
  <c r="J15" i="3"/>
  <c r="G15" i="3"/>
  <c r="C15" i="3"/>
  <c r="H15" i="3" s="1"/>
  <c r="J14" i="3"/>
  <c r="G14" i="3"/>
  <c r="C14" i="3"/>
  <c r="I14" i="3" s="1"/>
  <c r="J13" i="3"/>
  <c r="G13" i="3"/>
  <c r="C13" i="3"/>
  <c r="I13" i="3" s="1"/>
  <c r="J12" i="3"/>
  <c r="G12" i="3"/>
  <c r="J11" i="3"/>
  <c r="G11" i="3"/>
  <c r="J10" i="3"/>
  <c r="G10" i="3"/>
  <c r="C10" i="3"/>
  <c r="I10" i="3" s="1"/>
  <c r="J9" i="3"/>
  <c r="G9" i="3"/>
  <c r="C9" i="3"/>
  <c r="I9" i="3" s="1"/>
  <c r="I15" i="3" l="1"/>
  <c r="H16" i="3"/>
  <c r="H9" i="3"/>
  <c r="H13" i="3"/>
  <c r="H17" i="3"/>
  <c r="C11" i="3"/>
  <c r="C12" i="3"/>
  <c r="I19" i="3"/>
  <c r="E5" i="4"/>
  <c r="E7" i="4"/>
  <c r="E9" i="4"/>
  <c r="E11" i="4"/>
  <c r="E13" i="4"/>
  <c r="E15" i="4"/>
  <c r="E17" i="4"/>
  <c r="E5" i="5"/>
  <c r="E7" i="5"/>
  <c r="E9" i="5"/>
  <c r="E11" i="5"/>
  <c r="E13" i="5"/>
  <c r="E5" i="6"/>
  <c r="E7" i="6"/>
  <c r="E9" i="6"/>
  <c r="E11" i="6"/>
  <c r="E13" i="6"/>
  <c r="E6" i="7"/>
  <c r="E8" i="7"/>
  <c r="E10" i="7"/>
  <c r="E12" i="7"/>
  <c r="E14" i="7"/>
  <c r="E6" i="8"/>
  <c r="E8" i="8"/>
  <c r="E10" i="8"/>
  <c r="E12" i="8"/>
  <c r="E14" i="8"/>
  <c r="E6" i="9"/>
  <c r="E8" i="9"/>
  <c r="E10" i="9"/>
  <c r="E12" i="9"/>
  <c r="E14" i="9"/>
  <c r="E5" i="10"/>
  <c r="E7" i="10"/>
  <c r="E9" i="10"/>
  <c r="E11" i="10"/>
  <c r="E13" i="10"/>
  <c r="E5" i="11"/>
  <c r="E7" i="11"/>
  <c r="E9" i="11"/>
  <c r="E11" i="11"/>
  <c r="E13" i="11"/>
  <c r="E5" i="12"/>
  <c r="E7" i="12"/>
  <c r="E9" i="12"/>
  <c r="E11" i="12"/>
  <c r="E6" i="13"/>
  <c r="E8" i="13"/>
  <c r="E10" i="13"/>
  <c r="E12" i="13"/>
  <c r="E6" i="14"/>
  <c r="E8" i="14"/>
  <c r="H10" i="3"/>
  <c r="H14" i="3"/>
  <c r="H18" i="3"/>
  <c r="E6" i="4"/>
  <c r="E8" i="4"/>
  <c r="E10" i="4"/>
  <c r="E12" i="4"/>
  <c r="E14" i="4"/>
  <c r="E6" i="5"/>
  <c r="E8" i="5"/>
  <c r="E10" i="5"/>
  <c r="E6" i="6"/>
  <c r="E8" i="6"/>
  <c r="E10" i="6"/>
  <c r="E12" i="6"/>
  <c r="E5" i="7"/>
  <c r="E7" i="7"/>
  <c r="E9" i="7"/>
  <c r="E11" i="7"/>
  <c r="E13" i="7"/>
  <c r="E5" i="8"/>
  <c r="E7" i="8"/>
  <c r="E9" i="8"/>
  <c r="E11" i="8"/>
  <c r="E13" i="8"/>
  <c r="E5" i="9"/>
  <c r="E7" i="9"/>
  <c r="E9" i="9"/>
  <c r="E11" i="9"/>
  <c r="E6" i="10"/>
  <c r="E8" i="10"/>
  <c r="E10" i="10"/>
  <c r="E6" i="11"/>
  <c r="E8" i="11"/>
  <c r="E10" i="11"/>
  <c r="E6" i="12"/>
  <c r="E8" i="12"/>
  <c r="E10" i="12"/>
  <c r="E5" i="13"/>
  <c r="E7" i="13"/>
  <c r="E9" i="13"/>
  <c r="E11" i="13"/>
  <c r="E5" i="14"/>
  <c r="E7" i="14"/>
  <c r="I12" i="3" l="1"/>
  <c r="H12" i="3"/>
  <c r="H11" i="3"/>
  <c r="I11" i="3"/>
</calcChain>
</file>

<file path=xl/sharedStrings.xml><?xml version="1.0" encoding="utf-8"?>
<sst xmlns="http://schemas.openxmlformats.org/spreadsheetml/2006/main" count="1392" uniqueCount="759">
  <si>
    <t>قالب‌های ویدیوی کانال بارسا — نسخه‌ی ۱</t>
  </si>
  <si>
    <t/>
  </si>
  <si>
    <t>تاریخ</t>
  </si>
  <si>
    <t>۱۵ اکتبر ۲۰۲۶</t>
  </si>
  <si>
    <t>چطور بخوانید</t>
  </si>
  <si>
    <t>هر تب یک فرمت است و طول ویدیو را برش زده: هر ردیف یک بخش با زمان شروع/پایان، هدف، نمونه‌ی روایت انگلیسی، تصویر، کامپوننت‌های Remotion، صدا، ترفند ماندگاری و منبع/لایسنس.</t>
  </si>
  <si>
    <t>ستون‌های قابل ویرایش</t>
  </si>
  <si>
    <t>شروع و پایان (به صورت mm:ss) و همه‌ی متن‌ها. «مدت» و «٪ از کل» فرمول‌اند و خودکار حساب می‌شوند.</t>
  </si>
  <si>
    <t>[ ] در روایت</t>
  </si>
  <si>
    <t>هر چیزی داخل [ ] جای حقیقت/عددی است که باید از فکت‌شیت منبع‌دار پر شود. عدد ساختگی ممنوع.</t>
  </si>
  <si>
    <t>رنگ‌ها</t>
  </si>
  <si>
    <t>هر نوع بخش رنگ خودش را دارد (جدول زیر). تب «نمای برش‌ها» همه‌ی فرمت‌ها را به‌صورت نوار رنگی ۱۵ثانیه‌ای کنار هم نشان می‌دهد.</t>
  </si>
  <si>
    <t>تلاش (۱ تا ۵)</t>
  </si>
  <si>
    <t>برآورد زمان تولید آن بخش: ۱ = کارت ساده، ۵ = بازسازی سنگین چند صحنه‌ای.</t>
  </si>
  <si>
    <t>رندر ابری</t>
  </si>
  <si>
    <t>تب «مقایسه‌ی فرمت‌ها» زمان رندر را برای سیستم محلی و GitHub Actions / Google Colab حساب می‌کند؛ سرعت ابری فعلاً فرض است و بعد از اولین تست اندازه‌گیری می‌شود (خانه‌ی زرد).</t>
  </si>
  <si>
    <t>نوع بخش</t>
  </si>
  <si>
    <t>معنا</t>
  </si>
  <si>
    <t>H — قلاب</t>
  </si>
  <si>
    <t>۰ تا ۲۰ ثانیه: یک لحظه‌ی مشخص یا ادعای تند، بدون اینترو.</t>
  </si>
  <si>
    <t>T — پیش‌نمایش/وعده</t>
  </si>
  <si>
    <t>قول مشخص به بیننده (مثلاً ۳ چیز) و ایجاد کنجکاوی که بعداً پرداخت می‌شود.</t>
  </si>
  <si>
    <t>C — زمینه</t>
  </si>
  <si>
    <t>زمینه‌ی لازم برای فهم؛ کوتاه.</t>
  </si>
  <si>
    <t>F — فصل اصلی</t>
  </si>
  <si>
    <t>بدنه‌ی اصلی؛ هر فصل یک سؤال ← شواهد انیمیشنی ← پاسخ.</t>
  </si>
  <si>
    <t>B — تنفس/جمع‌بندی کوتاه</t>
  </si>
  <si>
    <t>۱۵ تا ۳۰ ثانیه جمع‌بندی/مکث برای ریست توجه.</t>
  </si>
  <si>
    <t>R — اوج/افشا</t>
  </si>
  <si>
    <t>اوج: پرداخت وعده‌ی قلاب یا بزرگ‌ترین بینش.</t>
  </si>
  <si>
    <t>M — لحظه‌ی انسانی</t>
  </si>
  <si>
    <t>نقل‌قول واقعی، خاطره‌ی هوادار، لحظه‌ی احساسی.</t>
  </si>
  <si>
    <t>Q — سؤال/دعوت</t>
  </si>
  <si>
    <t>یک سؤال مشخص برای کامنت (نه «لایک کنید»).</t>
  </si>
  <si>
    <t>E — پایان/اند‌اسکرین</t>
  </si>
  <si>
    <t>اند‌اسکرین هدفمند به ویدیوی مرتبط بعدی.</t>
  </si>
  <si>
    <t>هر خانه = ۱۵ ثانیه. حروف: نوع بخش (راهنما). عددهای بالا = دقیقه.</t>
  </si>
  <si>
    <t>FS — The Full Story — زندگی‌نامه‌ی تصویرسازی‌شده (HERO)</t>
  </si>
  <si>
    <t>H</t>
  </si>
  <si>
    <t>T</t>
  </si>
  <si>
    <t>C</t>
  </si>
  <si>
    <t>B</t>
  </si>
  <si>
    <t>F</t>
  </si>
  <si>
    <t>R</t>
  </si>
  <si>
    <t>M</t>
  </si>
  <si>
    <t>Q</t>
  </si>
  <si>
    <t>E</t>
  </si>
  <si>
    <t>PL — Play Like Barça — آموزشی (CORE هفتگی)</t>
  </si>
  <si>
    <t>A — تحلیل تاکتیکی بعد از بازی بزرگ (TX)</t>
  </si>
  <si>
    <t>B — کالبدشکافی بازیکن</t>
  </si>
  <si>
    <t>C — TM — بازی‌ای که… / مستند تاریخی بلند</t>
  </si>
  <si>
    <t>D — سری تاریخی «روایت با عکس»</t>
  </si>
  <si>
    <t>E — تاریخ شفاهی هوادار — فقط به‌صورت بخش داخل FS/TM</t>
  </si>
  <si>
    <t>F — WI — شبیه‌ساز شفاف «اگر…»</t>
  </si>
  <si>
    <t>G — رتبه‌بندی / شمارش معکوس — ❌ حذف در دور ۲ (فقط مرجع)</t>
  </si>
  <si>
    <t>H — یک لحظه، ده زاویه</t>
  </si>
  <si>
    <t>I — Short مشتق از ویدیوی بلند (۹:۱۶)</t>
  </si>
  <si>
    <t>راهنمای رنگ:</t>
  </si>
  <si>
    <t>مقایسه‌ی فرمت‌ها و برآورد زمان رندر</t>
  </si>
  <si>
    <t>فرض‌ها (خانه‌های زرد را ویرایش کنید)</t>
  </si>
  <si>
    <t>فریم‌ریت ویدیو (fps)</t>
  </si>
  <si>
    <t>استاندارد کانال</t>
  </si>
  <si>
    <t>سرعت رندر محلی (فریم بر ثانیه)</t>
  </si>
  <si>
    <t>اندازه‌گیری‌شده ۱۵ اکتبر ۲۰۲۶: پروتوتایپ تخته‌ی گچی ۱.۶ fps و قلاب آرشیوی ۲.۲ fps (1920×1080، concurrency=2). پروژه‌ی اهواز ۳.۵ fps بود ولی فیلترهای SVG سنگین‌ترند</t>
  </si>
  <si>
    <t>سرعت رندر ابری GitHub Actions / Colab (فریم بر ثانیه)</t>
  </si>
  <si>
    <t>فرض اولیه — باید بعد از اولین رندر آزمایشی اندازه‌گیری و جایگزین شود</t>
  </si>
  <si>
    <t>تعداد قطعه‌های موازی در ابر (jobs)</t>
  </si>
  <si>
    <t>فرض: رندر تکه‌تکه‌ی ویدیو در چند job هم‌زمان (matrix) — محدودیت‌های پلن چک شود</t>
  </si>
  <si>
    <t>فرمت</t>
  </si>
  <si>
    <t>نمونه‌ی عنوان</t>
  </si>
  <si>
    <t>طول (دقیقه)</t>
  </si>
  <si>
    <t>ریتم انتشار</t>
  </si>
  <si>
    <t>ستون محتوایی</t>
  </si>
  <si>
    <t>ریسک حقوقی</t>
  </si>
  <si>
    <t>جمع تلاش</t>
  </si>
  <si>
    <t>رندر محلی (ساعت)</t>
  </si>
  <si>
    <t>رندر ابری (ساعت)</t>
  </si>
  <si>
    <t>تعداد بخش‌ها</t>
  </si>
  <si>
    <t>The Full Story of Johan Cruyff at Barça (Illustrated)</t>
  </si>
  <si>
    <t>ماهانه</t>
  </si>
  <si>
    <t>HERO / همیشه‌سبز</t>
  </si>
  <si>
    <t>کم (عکس CC0 + تصویرسازی)</t>
  </si>
  <si>
    <t>Play Like Pedri: The 3 Habits Nobody Teaches</t>
  </si>
  <si>
    <t>هفتگی</t>
  </si>
  <si>
    <t>جستجو / همیشه‌سبز</t>
  </si>
  <si>
    <t>کم</t>
  </si>
  <si>
    <t>The Tactics Behind [Clásico result] — Explained</t>
  </si>
  <si>
    <t>بعد از بازی‌های بزرگ (۴۸ ساعت)</t>
  </si>
  <si>
    <t>TIMELY / جستجو</t>
  </si>
  <si>
    <t>Why Lamine Yamal Is Impossible to Defend — Explained</t>
  </si>
  <si>
    <t>دو هفته یک بار</t>
  </si>
  <si>
    <t>جستجو/همیشه‌سبز نسبی</t>
  </si>
  <si>
    <t>The 2-6: How Guardiola's Barça Broke Real Madrid</t>
  </si>
  <si>
    <t>همیشه‌سبز/اعتبار</t>
  </si>
  <si>
    <t>کم-متوسط (عکس)</t>
  </si>
  <si>
    <t>Barça Eras, Ep.1 — Johan Cruyff: The Man Who Built Barça</t>
  </si>
  <si>
    <t>هفتگی/دو هفته (سری)</t>
  </si>
  <si>
    <t>همیشه‌سبز/سری</t>
  </si>
  <si>
    <t>کم (فقط عکس آزاد)</t>
  </si>
  <si>
    <t>Where Were You? The 6-1 Night, Told by Fans</t>
  </si>
  <si>
    <t>جامعه/احساس</t>
  </si>
  <si>
    <t>متوسط (رضایت‌نامه)</t>
  </si>
  <si>
    <t>What If Neymar Never Left? We Simulated 1,000 Seasons</t>
  </si>
  <si>
    <t>ویروسی/بحث</t>
  </si>
  <si>
    <t>کم (برچسب فرضی)</t>
  </si>
  <si>
    <t>10 Clásico Goals That Changed History</t>
  </si>
  <si>
    <t>کلیک/سرگرمی</t>
  </si>
  <si>
    <t>Iniesta, Stamford Bridge, 93rd Minute — 10 Angles on One Moment</t>
  </si>
  <si>
    <t>امضای کانال</t>
  </si>
  <si>
    <t>The Offside Trap in 45 Seconds (from video A)</t>
  </si>
  <si>
    <t>۲ تا ۳ عدد برای هر ویدیوی بلند</t>
  </si>
  <si>
    <t>قیف جذب</t>
  </si>
  <si>
    <t>رنگ سبز = فرمول/لینک به تب دیگر. رندر ابری = (طول × ۶۰ × fps) ÷ (سرعت ابری × تعداد job موازی). زمان آپلود و دانلود خروجی از ابر حساب نشده.</t>
  </si>
  <si>
    <t>نمونه‌ی عنوان: The Full Story of Johan Cruyff at Barça (Illustrated)   |   ریتم انتشار: ماهانه   |   ستون محتوایی: HERO / همیشه‌سبز   |   ریسک حقوقی: کم (عکس CC0 + تصویرسازی)</t>
  </si>
  <si>
    <t>طول کل:</t>
  </si>
  <si>
    <t>جمع تلاش:</t>
  </si>
  <si>
    <t>#</t>
  </si>
  <si>
    <t>شروع</t>
  </si>
  <si>
    <t>پایان</t>
  </si>
  <si>
    <t>مدت</t>
  </si>
  <si>
    <t>٪ از کل</t>
  </si>
  <si>
    <t>نوع</t>
  </si>
  <si>
    <t>بخش</t>
  </si>
  <si>
    <t>هدف</t>
  </si>
  <si>
    <t>نمونه‌ی روایت (EN)</t>
  </si>
  <si>
    <t>تصویر روی صفحه</t>
  </si>
  <si>
    <t>کامپوننت‌های Remotion</t>
  </si>
  <si>
    <t>صدا/موزیک/SFX</t>
  </si>
  <si>
    <t>ترفند ماندگاری</t>
  </si>
  <si>
    <t>منبع/لایسنس</t>
  </si>
  <si>
    <t>تلاش ۱-۵</t>
  </si>
  <si>
    <t>قلاب</t>
  </si>
  <si>
    <t>عکس آرشیوی ← تبدیل به تصویرسازی + یک ادعای بزرگ</t>
  </si>
  <si>
    <t>حس «سند» + کنجکاوی</t>
  </si>
  <si>
    <t>He changed this club twice — once with his feet, once with a whiteboard.</t>
  </si>
  <si>
    <t>عکس CC0 با وایپ به فیلتر جوهر/دوتون (پروتوتایپ StoryHook)</t>
  </si>
  <si>
    <t>IllustratedPhoto, Wipe, Halftone, Grain</t>
  </si>
  <si>
    <t>پیانو + صدای شاتر قدیمی</t>
  </si>
  <si>
    <t>تبدیل بصری عکس جلوی چشم</t>
  </si>
  <si>
    <t>Anefo/Nationaal Archief CC0 — licenses.tsv</t>
  </si>
  <si>
    <t>پیش‌نمایش/وعده</t>
  </si>
  <si>
    <t>نقشه‌ی سفر و سه پرده</t>
  </si>
  <si>
    <t>قول ساختار</t>
  </si>
  <si>
    <t>Three acts: the player, the exile, the architect. And one decision in 1988 that still shapes every Barça team.</t>
  </si>
  <si>
    <t>کارت سه پرده + فلش‌فوروارد سریع</t>
  </si>
  <si>
    <t>ActCards, MontageFlash</t>
  </si>
  <si>
    <t>موزیک اینترو بدون لوگو</t>
  </si>
  <si>
    <t>وعده‌ی «تصمیم ۱۹۸۸»</t>
  </si>
  <si>
    <t>—</t>
  </si>
  <si>
    <t>زمینه</t>
  </si>
  <si>
    <t>ریشه‌ها: آمستردام، آژاکس، فوتبال توتال</t>
  </si>
  <si>
    <t>بنای شخصیت</t>
  </si>
  <si>
    <t>[Childhood fact]. A boy who lived [X] metres from the Ajax ground...</t>
  </si>
  <si>
    <t>نقشه + عکس‌های آزاد + تخته‌ی ساده‌ی فوتبال توتال</t>
  </si>
  <si>
    <t>MapRoute, IllustratedPhoto, Pitch</t>
  </si>
  <si>
    <t>موزیک دهه‌ی ۶۰</t>
  </si>
  <si>
    <t>کاراکتر با خواسته و مانع</t>
  </si>
  <si>
    <t>حقایق عمومی + عکس آزاد</t>
  </si>
  <si>
    <t>تنفس/جمع‌بندی کوتاه</t>
  </si>
  <si>
    <t>کارت «پرده‌ی ۱: بازیکن»</t>
  </si>
  <si>
    <t>ریست</t>
  </si>
  <si>
    <t>ChapterTitle</t>
  </si>
  <si>
    <t>سکوت کوتاه</t>
  </si>
  <si>
    <t>فصل اصلی</t>
  </si>
  <si>
    <t>۱۹۷۳: انتقال، ۰-۵ برنابئو، قهرمانی</t>
  </si>
  <si>
    <t>اوج بازیکنی</t>
  </si>
  <si>
    <t>[Date]. The most expensive transfer in the world lands in a city that needed a reason to believe.</t>
  </si>
  <si>
    <t>تیتر روزنامه (بازسازی) + اسکوربورد قدیمی + عکس‌های CC0 بارسا ۱۹۷۴–۷۸</t>
  </si>
  <si>
    <t>NewspaperHeadline, ScoreBug(retro), IllustratedPhoto</t>
  </si>
  <si>
    <t>جمعیت آرشیوی (CC0)</t>
  </si>
  <si>
    <t>نقطه‌ی اوج اول</t>
  </si>
  <si>
    <t>Mundo Deportivo (نقل کوتاه) + CC0</t>
  </si>
  <si>
    <t>«پرده‌ی ۲: تبعید»</t>
  </si>
  <si>
    <t>پرش زمانی</t>
  </si>
  <si>
    <t>TimeJump</t>
  </si>
  <si>
    <t>tick ساعت</t>
  </si>
  <si>
    <t>سال‌های دور: آمریکا، بازگشت به هلند</t>
  </si>
  <si>
    <t>لایه‌ی انسانی و شکست</t>
  </si>
  <si>
    <t>[Fact about later career]. Few expected him back in Barcelona.</t>
  </si>
  <si>
    <t>عکس‌های آزاد + تایم‌لاین</t>
  </si>
  <si>
    <t>Timeline, IllustratedPhoto</t>
  </si>
  <si>
    <t>موزیک تأملی</t>
  </si>
  <si>
    <t>تعلیق</t>
  </si>
  <si>
    <t>حقایق عمومی</t>
  </si>
  <si>
    <t>«پرده‌ی ۳: معمار» — عکس CC0 خروج از اسخیپول به بارسلونا (۱۹۸۸)</t>
  </si>
  <si>
    <t>تحول</t>
  </si>
  <si>
    <t>1988. Schiphol airport. A one-way ticket.</t>
  </si>
  <si>
    <t>عکس CC0 cruyff-01</t>
  </si>
  <si>
    <t>IllustratedPhoto</t>
  </si>
  <si>
    <t>پیانو</t>
  </si>
  <si>
    <t>عکس واقعی همان لحظه</t>
  </si>
  <si>
    <t>CC0 (Rob Croes/Anefo)</t>
  </si>
  <si>
    <t>تیم رؤیایی: ۳-۴-۳، ومبلی ۱۹۹۲</t>
  </si>
  <si>
    <t>اوج مربیگری + آموزش سیستم</t>
  </si>
  <si>
    <t>His team attacked with a back three and a goalkeeper who played like a defender.</t>
  </si>
  <si>
    <t>تخته‌ی گچی ۳-۴-۳، حرکت مثلث‌ها، بازسازی گل ومبلی (از حقایق عمومی)</t>
  </si>
  <si>
    <t>Pitch, Formation, Arrow, ScoreBug</t>
  </si>
  <si>
    <t>موزیک حماسی</t>
  </si>
  <si>
    <t>بازسازی لحظه‌ی بزرگ</t>
  </si>
  <si>
    <t>اوج/افشا</t>
  </si>
  <si>
    <t>میراث: ماسیا، گواردیولا، امروز</t>
  </si>
  <si>
    <t>پرداخت وعده‌ی «تصمیم ۱۹۸۸»</t>
  </si>
  <si>
    <t>That decision in 1988 is why [current player] plays the way he does tonight.</t>
  </si>
  <si>
    <t>شجره‌ی تأثیر تا بازیکنان امروز</t>
  </si>
  <si>
    <t>InfluenceTree</t>
  </si>
  <si>
    <t>موزیک اوج</t>
  </si>
  <si>
    <t>اتصال گذشته به امروز</t>
  </si>
  <si>
    <t>لحظه‌ی انسانی</t>
  </si>
  <si>
    <t>خاطره‌ی هوادار / نقل‌قول کوتاه</t>
  </si>
  <si>
    <t>احساس</t>
  </si>
  <si>
    <t>"[Fan memory]" — [name], [city].</t>
  </si>
  <si>
    <t>پارالاکس عمق روی آخرین عکس + کارت نقل</t>
  </si>
  <si>
    <t>ParallaxPhoto(depth), QuoteCard</t>
  </si>
  <si>
    <t>سکوت در پایان</t>
  </si>
  <si>
    <t>فرم رضایت</t>
  </si>
  <si>
    <t>سؤال/دعوت</t>
  </si>
  <si>
    <t>قسمت بعد را انتخاب کنید</t>
  </si>
  <si>
    <t>کامنت + جهت سری</t>
  </si>
  <si>
    <t>Who gets the next Full Story — Kubala, Ronaldinho, or Xavi?</t>
  </si>
  <si>
    <t>سه کارت گزینه</t>
  </si>
  <si>
    <t>PollCards</t>
  </si>
  <si>
    <t>مشارکت</t>
  </si>
  <si>
    <t>پایان/اند‌اسکرین</t>
  </si>
  <si>
    <t>اند‌اسکرین</t>
  </si>
  <si>
    <t>ارجاع</t>
  </si>
  <si>
    <t>The night his idea finally won everything — the 2-6 — is right here.</t>
  </si>
  <si>
    <t>EndScreen</t>
  </si>
  <si>
    <t>امضا</t>
  </si>
  <si>
    <t>نکته: شروع/پایان (آبی) را ویرایش کنید؛ مدت و درصد خودکار حساب می‌شوند. [ ] = حقیقتی که باید از فکت‌شیت منبع‌دار پر شود.</t>
  </si>
  <si>
    <t>نمونه‌ی عنوان: Play Like Pedri: The 3 Habits Nobody Teaches   |   ریتم انتشار: هفتگی   |   ستون محتوایی: جستجو / همیشه‌سبز   |   ریسک حقوقی: کم</t>
  </si>
  <si>
    <t>خطای رایج در برابر عادت پدری</t>
  </si>
  <si>
    <t>ارزش فوری برای بازیکن</t>
  </si>
  <si>
    <t>Most midfielders look at the ball. Pedri looks at everything else first.</t>
  </si>
  <si>
    <t>دو مهره کنار هم: یکی بدون اسکن، یکی با قوس‌های اسکن</t>
  </si>
  <si>
    <t>Token, ScanArcs, SplitPitch</t>
  </si>
  <si>
    <t>ضربه + whoosh</t>
  </si>
  <si>
    <t>مقایسه‌ی فوری</t>
  </si>
  <si>
    <t>انیمیشن خودمان</t>
  </si>
  <si>
    <t>سه عادت + تمرین در پایان</t>
  </si>
  <si>
    <t>قول مشخص و کاربردی</t>
  </si>
  <si>
    <t>Three habits — and a 10-minute drill at the end you can do tomorrow.</t>
  </si>
  <si>
    <t>سه کارت عادت + آیکون تمرین</t>
  </si>
  <si>
    <t>HabitCards</t>
  </si>
  <si>
    <t>موزیک ریتمیک</t>
  </si>
  <si>
    <t>وعده‌ی تمرین (نگه‌داشت تا آخر)</t>
  </si>
  <si>
    <t>عادت ۱: اسکن قبل از دریافت</t>
  </si>
  <si>
    <t>آموزش یک اصل</t>
  </si>
  <si>
    <t>Before the ball arrives: left shoulder, right shoulder, then receive.</t>
  </si>
  <si>
    <t>قوس‌های اسکن، شمارنده‌ی نگاه، فریز</t>
  </si>
  <si>
    <t>Token, ScanArcs, Counter, Freeze</t>
  </si>
  <si>
    <t>SFX گچ</t>
  </si>
  <si>
    <t>شمارش اسکن روی صفحه</t>
  </si>
  <si>
    <t>اصول عمومی مربیگری</t>
  </si>
  <si>
    <t>عادت ۲: بدن باز (half-turn)</t>
  </si>
  <si>
    <t>Receive on the half-turn and the whole pitch opens in front of you.</t>
  </si>
  <si>
    <t>زاویه‌ی بدن با نقاله، دو گزینه‌ی پاس</t>
  </si>
  <si>
    <t>Token, Protractor, Arrow</t>
  </si>
  <si>
    <t>نقاله و زاویه</t>
  </si>
  <si>
    <t>اصول عمومی</t>
  </si>
  <si>
    <t>جمع‌بندی ۲ عادت</t>
  </si>
  <si>
    <t>کارت</t>
  </si>
  <si>
    <t>عادت ۳: پاس بعدی را آسان کن</t>
  </si>
  <si>
    <t>عمیق‌ترین ایده</t>
  </si>
  <si>
    <t>The best pass is the one that makes the next pass easy.</t>
  </si>
  <si>
    <t>زنجیره‌ی پاس شماره‌گذاری‌شده</t>
  </si>
  <si>
    <t>PassChain, Arrow</t>
  </si>
  <si>
    <t>ایده‌ی «آها»</t>
  </si>
  <si>
    <t>تمرین ۱۰ دقیقه‌ای (rondo/اسکن)</t>
  </si>
  <si>
    <t>پرداخت وعده</t>
  </si>
  <si>
    <t>Set up four cones like this. Every time you receive, call out the colour behind you.</t>
  </si>
  <si>
    <t>دیاگرام تمرین متحرک + تایمر</t>
  </si>
  <si>
    <t>DrillDiagram, Timer</t>
  </si>
  <si>
    <t>کاربردی و قابل ذخیره (save)</t>
  </si>
  <si>
    <t>طراحی خودمان (بازبینی مربی)</t>
  </si>
  <si>
    <t>«کدام بازیکن بعدی؟»</t>
  </si>
  <si>
    <t>کامنت</t>
  </si>
  <si>
    <t>Which Barça player should we break down next?</t>
  </si>
  <si>
    <t>کارت سؤال</t>
  </si>
  <si>
    <t>QuestionCard</t>
  </si>
  <si>
    <t>Now learn how Lamine beats a defender before the touch.</t>
  </si>
  <si>
    <t>نمونه‌ی عنوان: The Tactics Behind [Clásico result] — Explained   |   ریتم انتشار: بعد از بازی‌های بزرگ (۴۸ ساعت)   |   ستون محتوایی: TIMELY / جستجو   |   ریسک حقوقی: کم</t>
  </si>
  <si>
    <t>بازسازی یک ضدحمله‌ی خطرناک</t>
  </si>
  <si>
    <t>در ۱۵ ثانیه ارزش ویدیو را نشان بده</t>
  </si>
  <si>
    <t>One step. That's the distance between Barça's best weapon and their biggest risk.</t>
  </si>
  <si>
    <t>تخته‌ی گچی: خط دفاعی بالا، یک پاس بلند، ایست روی آفساید</t>
  </si>
  <si>
    <t>Pitch, PlayerDot, Arrow, OffsideLine, Freeze</t>
  </si>
  <si>
    <t>ضربه‌ی بیس + سکوت ناگهانی</t>
  </si>
  <si>
    <t>قطع ناگهانی تصویر در لحظه‌ی حساس</t>
  </si>
  <si>
    <t>سه کلید بازی</t>
  </si>
  <si>
    <t>قول مشخص: ۳ چیز یاد می‌گیری</t>
  </si>
  <si>
    <t>Three things will decide Sunday. The third one is the one nobody's talking about.</t>
  </si>
  <si>
    <t>سه کارت شماره‌دار که یکی‌یکی می‌آیند؛ سومی مات</t>
  </si>
  <si>
    <t>StatCard x3, ChapterTitle</t>
  </si>
  <si>
    <t>موزیک ریتمیک ملایم</t>
  </si>
  <si>
    <t>ایجاد کنجکاوی برای کلید سوم</t>
  </si>
  <si>
    <t>فرم، جدول، مصدومیت‌ها</t>
  </si>
  <si>
    <t>بیننده را در وضعیت فعلی قرار بده</t>
  </si>
  <si>
    <t>Barça arrive [X] points clear, but without [injured player] the right side looks different.</t>
  </si>
  <si>
    <t>جدول لیگ متحرک، کارت مصدومان، ترکیب احتمالی</t>
  </si>
  <si>
    <t>Table, LineupCard, InjuryTag</t>
  </si>
  <si>
    <t>موزیک زیر صدا (−20dB)</t>
  </si>
  <si>
    <t>اعداد با شمارنده‌ی متحرک</t>
  </si>
  <si>
    <t>حقایق عمومی + منبع</t>
  </si>
  <si>
    <t>کلید ۱: خط بالا و تله‌ی آفساید</t>
  </si>
  <si>
    <t>شواهد تاکتیکی با ۲ تا ۳ صحنه‌ی بازسازی‌شده</t>
  </si>
  <si>
    <t>Watch the back four. They don't drop when the ball-carrier lifts his head — they step.</t>
  </si>
  <si>
    <t>۳ سکانس بازسازی‌شده + زوم روی فاصله‌ها + خط‌کش متری</t>
  </si>
  <si>
    <t>Pitch, PlayerDot(keyframes), Zone, Ruler, OffsideLine</t>
  </si>
  <si>
    <t>SFX کشیدن گچ، whoosh روی زوم</t>
  </si>
  <si>
    <t>تغییر زاویه‌ی دوربین هر ۲۰ تا ۳۰ ثانیه</t>
  </si>
  <si>
    <t>کدگذاری دستی صحنه‌ها</t>
  </si>
  <si>
    <t>جمع‌بندی کلید ۱</t>
  </si>
  <si>
    <t>ریست توجه</t>
  </si>
  <si>
    <t>So that is key one: the line is a weapon, and a gamble.</t>
  </si>
  <si>
    <t>کارت خلاصه‌ی یک‌خطی</t>
  </si>
  <si>
    <t>افت موزیک</t>
  </si>
  <si>
    <t>مکث کوتاه قبل از فصل بعد</t>
  </si>
  <si>
    <t>کلید ۲: دوئل یامال با جناح چپ حریف</t>
  </si>
  <si>
    <t>تقابل بازیکن به بازیکن</t>
  </si>
  <si>
    <t>[Full-back] has faced Lamine [X] times. Here is what he tried, and what happened.</t>
  </si>
  <si>
    <t>تصویر تقسیم‌شده: دو مهره، مسیرهای حرکت، نقشه‌ی گرمایی ساده</t>
  </si>
  <si>
    <t>PlayerDot, Trail, Heatmap(manual), SplitScreen</t>
  </si>
  <si>
    <t>موزیک کمی بالاتر</t>
  </si>
  <si>
    <t>مقایسه‌ی تصویری دو نفر</t>
  </si>
  <si>
    <t>داده‌ی پایه + مشاهده</t>
  </si>
  <si>
    <t>کلید ۳: تهدید ضدحمله‌ی حریف</t>
  </si>
  <si>
    <t>کلید غافلگیرکننده (همان وعده‌ی قلاب)</t>
  </si>
  <si>
    <t>This is the one nobody talks about: the second ball after the press is broken.</t>
  </si>
  <si>
    <t>بازسازی ۲ ضدحمله؛ ناحیه‌ی خالی پشت خط</t>
  </si>
  <si>
    <t>Zone, Arrow(path draw), Ghost players</t>
  </si>
  <si>
    <t>ضربان قلب ملایم (SFX)</t>
  </si>
  <si>
    <t>پاسخ به کنجکاوی ابتدای ویدیو</t>
  </si>
  <si>
    <t>کدگذاری دستی</t>
  </si>
  <si>
    <t>دو سناریو: برد بارسا / باخت بارسا</t>
  </si>
  <si>
    <t>جمع‌بندی تحلیلی با تصویر</t>
  </si>
  <si>
    <t>If Barça win, it looks like this. If they lose, it will almost certainly look like this.</t>
  </si>
  <si>
    <t>تخته‌ی دو نیمه: سناریو A و B</t>
  </si>
  <si>
    <t>SplitPitch, ScenarioTag</t>
  </si>
  <si>
    <t>دو تصویر متضاد</t>
  </si>
  <si>
    <t>پیش‌بینی نتیجه</t>
  </si>
  <si>
    <t>کامنت گرفتن</t>
  </si>
  <si>
    <t>Give me your score prediction. I will pin the closest one after the match.</t>
  </si>
  <si>
    <t>کارت نتیجه‌ی خالی ؟ - ؟</t>
  </si>
  <si>
    <t>ScoreBug</t>
  </si>
  <si>
    <t>موزیک کم</t>
  </si>
  <si>
    <t>وعده‌ی پین کامنت</t>
  </si>
  <si>
    <t>ارجاع به ویدیوی بعدی</t>
  </si>
  <si>
    <t>If you want to see how the 2-6 was built, that story is right here.</t>
  </si>
  <si>
    <t>دو کارت ویدیو + سابسکرایب</t>
  </si>
  <si>
    <t>موزیک امضای کانال</t>
  </si>
  <si>
    <t>اند‌اسکرین هدفمند</t>
  </si>
  <si>
    <t>نمونه‌ی عنوان: Why Lamine Yamal Is Impossible to Defend — Explained   |   ریتم انتشار: دو هفته یک بار   |   ستون محتوایی: جستجو/همیشه‌سبز نسبی   |   ریسک حقوقی: کم</t>
  </si>
  <si>
    <t>یک حرکت، فریم به فریم</t>
  </si>
  <si>
    <t>«چطور این کار را می‌کند؟»</t>
  </si>
  <si>
    <t>Watch his hips, not the ball. The defender is already beaten here — half a second before the touch.</t>
  </si>
  <si>
    <t>بازسازی یک دریبل با ghost trail و اسلوموشن</t>
  </si>
  <si>
    <t>PlayerDot, GhostTrail, SlowMo, Freeze</t>
  </si>
  <si>
    <t>tick-tick ساعت + whoosh</t>
  </si>
  <si>
    <t>اسلوموشن و توقف</t>
  </si>
  <si>
    <t>سه راز</t>
  </si>
  <si>
    <t>قول مشخص</t>
  </si>
  <si>
    <t>There are three things defenders cannot fix. The last one is not physical at all.</t>
  </si>
  <si>
    <t>سه آیکون قفل‌شده</t>
  </si>
  <si>
    <t>StatCard x3</t>
  </si>
  <si>
    <t>کنجکاوی</t>
  </si>
  <si>
    <t>مسیر: ماسیا تا تیم اول</t>
  </si>
  <si>
    <t>داستان انسانی کوتاه</t>
  </si>
  <si>
    <t>[Year]: a kid from [neighbourhood] walks into La Masia...</t>
  </si>
  <si>
    <t>تایم‌لاین + عکس آزاد (CC) با پارالاکس</t>
  </si>
  <si>
    <t>Timeline, ParallaxPhoto, MapPin</t>
  </si>
  <si>
    <t>موزیک احساسی ملایم</t>
  </si>
  <si>
    <t>شروع داستان شخصی</t>
  </si>
  <si>
    <t>عکس CC BY/CC0 + ثبت لایسنس</t>
  </si>
  <si>
    <t>راز ۱: فریب بدن و برش به داخل</t>
  </si>
  <si>
    <t>تحلیل تکنیک</t>
  </si>
  <si>
    <t>Every defender knows he cuts inside. Here is why knowing does not help.</t>
  </si>
  <si>
    <t>۳ نمونه کنار هم؛ زاویه‌ی بدن با نقاله</t>
  </si>
  <si>
    <t>PlayerDot, Protractor, SplitScreen</t>
  </si>
  <si>
    <t>نقاله و اندازه‌گیری، حس علمی</t>
  </si>
  <si>
    <t>جمع‌بندی ۱</t>
  </si>
  <si>
    <t>Secret one: the decision is made before the touch.</t>
  </si>
  <si>
    <t>راز ۲: کجا توپ می‌گیرد</t>
  </si>
  <si>
    <t>موقعیت‌یابی بین خطوط</t>
  </si>
  <si>
    <t>He receives where nobody is responsible for him: between the lines, on the half-turn.</t>
  </si>
  <si>
    <t>نقشه‌ی مناطق دریافت (دستی) + سایه‌ی مسئولیت مدافعان</t>
  </si>
  <si>
    <t>Zone, Heatmap(manual), ShadowCover</t>
  </si>
  <si>
    <t>موزیک متوسط</t>
  </si>
  <si>
    <t>تصویرسازی مفهوم «منطقه‌ی بی‌صاحب»</t>
  </si>
  <si>
    <t>مشاهده‌ی خودمان</t>
  </si>
  <si>
    <t>راز ۳: تصمیم‌گیری (غیرفیزیکی)</t>
  </si>
  <si>
    <t>پاسخ به وعده‌ی قلاب</t>
  </si>
  <si>
    <t>The third secret: he chooses the pass that makes the next pass easy.</t>
  </si>
  <si>
    <t>زنجیره‌ی پاس با شماره‌گذاری</t>
  </si>
  <si>
    <t>PassChain, Arrow(path draw)</t>
  </si>
  <si>
    <t>آمار پایه + مشاهده</t>
  </si>
  <si>
    <t>مدافع‌ها چه می‌کنند و چرا شکست می‌خورند</t>
  </si>
  <si>
    <t>نقشه‌ی ضد</t>
  </si>
  <si>
    <t>Here is the plan most teams try. And here is the exact moment it breaks.</t>
  </si>
  <si>
    <t>دو مدافع / دوبل‌کاور و شکافش</t>
  </si>
  <si>
    <t>PlayerDot, Zone, Freeze</t>
  </si>
  <si>
    <t>ضربه‌ی بیس</t>
  </si>
  <si>
    <t>لحظه‌ی «آها»</t>
  </si>
  <si>
    <t>مقایسه‌ی منصفانه با گذشته</t>
  </si>
  <si>
    <t>زاویه‌ی میراث</t>
  </si>
  <si>
    <t>At the same age, [legend] had [fact]. Different paths, same question.</t>
  </si>
  <si>
    <t>کارت‌های مقایسه + نقل‌قول کوتاه با منبع</t>
  </si>
  <si>
    <t>QuoteCard, StatCompare</t>
  </si>
  <si>
    <t>موزیک احساسی</t>
  </si>
  <si>
    <t>نقل‌قول واقعی با منبع</t>
  </si>
  <si>
    <t>حقیقت عمومی + منبع</t>
  </si>
  <si>
    <t>سؤال</t>
  </si>
  <si>
    <t>Which of the three secrets did you notice first? Tell me below.</t>
  </si>
  <si>
    <t>The player who taught him that move? His story is here.</t>
  </si>
  <si>
    <t>نمونه‌ی عنوان: The 2-6: How Guardiola's Barça Broke Real Madrid   |   ریتم انتشار: ماهانه   |   ستون محتوایی: همیشه‌سبز/اعتبار   |   ریسک حقوقی: کم-متوسط (عکس)</t>
  </si>
  <si>
    <t>تیتر روزنامه‌ی فردای بازی</t>
  </si>
  <si>
    <t>حس «سند تاریخی»</t>
  </si>
  <si>
    <t>2 May 2009. The next morning, the headline needed only [N] words.</t>
  </si>
  <si>
    <t>بازسازی تایپوگرافی تیتر + صدای چاپخانه</t>
  </si>
  <si>
    <t>NewspaperHeadline, Grain, Vignette</t>
  </si>
  <si>
    <t>صدای جمعیت دور + چاپخانه</t>
  </si>
  <si>
    <t>تیتر واقعی (نقل کوتاه)</t>
  </si>
  <si>
    <t>آرشیو Mundo Deportivo (نقل کوتاه+منبع)</t>
  </si>
  <si>
    <t>تز ویدیو</t>
  </si>
  <si>
    <t>ادعای اصلی</t>
  </si>
  <si>
    <t>This was not a win. It was a manifesto — and you can still see it in every team that presses today.</t>
  </si>
  <si>
    <t>چند فریم از آینده‌ی ویدیو (مونتاژ سریع)</t>
  </si>
  <si>
    <t>MontageFlash</t>
  </si>
  <si>
    <t>وعده‌ی بزرگ</t>
  </si>
  <si>
    <t>پرده‌ی ۱: بحران ۲۰۰۸ و انتخاب گواردیولا</t>
  </si>
  <si>
    <t>بنای داستان</t>
  </si>
  <si>
    <t>[Context]: a dressing room in decline, and a coach with [N] games of experience.</t>
  </si>
  <si>
    <t>تایم‌لاین + عکس‌های آزاد + نقل‌قول‌های کوتاه</t>
  </si>
  <si>
    <t>Timeline, ParallaxPhoto, QuoteCard</t>
  </si>
  <si>
    <t>موزیک تیره</t>
  </si>
  <si>
    <t>ریسک و تعلیق</t>
  </si>
  <si>
    <t>عکس CC + منابع کتاب (فقط تحقیق)</t>
  </si>
  <si>
    <t>کارت فصل «Act II»</t>
  </si>
  <si>
    <t>کارت عنوان پرده</t>
  </si>
  <si>
    <t>نقطه‌ی ورود دوباره</t>
  </si>
  <si>
    <t>پرده‌ی ۲: سیستم</t>
  </si>
  <si>
    <t>توضیح ایده (false 9، پرس)</t>
  </si>
  <si>
    <t>The idea was simple to draw and almost impossible to stop.</t>
  </si>
  <si>
    <t>تخته‌ی گچی: شکل تیم، حرکت مسی به مرکز</t>
  </si>
  <si>
    <t>Pitch, Formation, Arrow, Zone</t>
  </si>
  <si>
    <t>آموزش مفهوم با انیمیشن</t>
  </si>
  <si>
    <t>کدگذاری از روی منابع عمومی</t>
  </si>
  <si>
    <t>پرده‌ی ۳: بازی، گل به گل</t>
  </si>
  <si>
    <t>اوج روایت</t>
  </si>
  <si>
    <t>Minute [X]. [Player] receives... and the Bernabéu goes silent.</t>
  </si>
  <si>
    <t>۶ گل بازسازی‌شده + اسکوربورد + ساعت</t>
  </si>
  <si>
    <t>ScoreBug, Pitch, PlayerDot, Clock</t>
  </si>
  <si>
    <t>جمعیت + موزیک حماسی</t>
  </si>
  <si>
    <t>ریتم سریع، هر گل یک مینی‌داستان</t>
  </si>
  <si>
    <t>حقایق عمومی (دقیقه/گلزن)</t>
  </si>
  <si>
    <t>روزنامه‌ها فردای آن روز</t>
  </si>
  <si>
    <t>مکث و بازتاب</t>
  </si>
  <si>
    <t>Across Spain the next day, the reaction was [summary].</t>
  </si>
  <si>
    <t>کلاژ تیترها (بازسازی)</t>
  </si>
  <si>
    <t>NewspaperHeadline x3</t>
  </si>
  <si>
    <t>سند</t>
  </si>
  <si>
    <t>نقل کوتاه + منبع</t>
  </si>
  <si>
    <t>پرده‌ی ۴: سه‌گانه و پیامد</t>
  </si>
  <si>
    <t>بزرگ کردن قاب</t>
  </si>
  <si>
    <t>Within [N] weeks, the same idea won everything.</t>
  </si>
  <si>
    <t>نقشه‌ی جام‌ها، تایم‌لاین فصل</t>
  </si>
  <si>
    <t>Timeline, TrophyCount</t>
  </si>
  <si>
    <t>موزیک پیروزی</t>
  </si>
  <si>
    <t>شمارنده‌ی جام‌ها</t>
  </si>
  <si>
    <t>چه چیزی را در فوتبال عوض کرد</t>
  </si>
  <si>
    <t>ادعای تحلیلی بزرگ</t>
  </si>
  <si>
    <t>Look at how teams pressed before 2009, and after.</t>
  </si>
  <si>
    <t>نمودار شجره‌ی تأثیر (مربیان و تیم‌ها)</t>
  </si>
  <si>
    <t>InfluenceTree, Arrow</t>
  </si>
  <si>
    <t>ارتباط گذشته با امروز</t>
  </si>
  <si>
    <t>پایان انسانی</t>
  </si>
  <si>
    <t>A fan who was in the stadium that night wrote to us: "[quote]".</t>
  </si>
  <si>
    <t>عکس آزاد/پارالاکس + نقل هوادار (با رضایت)</t>
  </si>
  <si>
    <t>ParallaxPhoto, QuoteCard</t>
  </si>
  <si>
    <t>لحظه‌ی احساسی</t>
  </si>
  <si>
    <t>خاطره‌ی هوادار با فرم رضایت</t>
  </si>
  <si>
    <t>The man who planted this idea 20 years earlier? His story is next.</t>
  </si>
  <si>
    <t>نمونه‌ی عنوان: Barça Eras, Ep.1 — Johan Cruyff: The Man Who Built Barça   |   ریتم انتشار: هفتگی/دو هفته (سری)   |   ستون محتوایی: همیشه‌سبز/سری   |   ریسک حقوقی: کم (فقط عکس آزاد)</t>
  </si>
  <si>
    <t>یک عکس آرشیوی + نقل‌قول</t>
  </si>
  <si>
    <t>حس سند و احساس</t>
  </si>
  <si>
    <t>"[Short real quote]" — said a man who would change this club twice.</t>
  </si>
  <si>
    <t>عکس Anefo با پارالاکس عمیق؛ کارت نقل‌قول</t>
  </si>
  <si>
    <t>ParallaxPhoto(depth), QuoteCard, Grain</t>
  </si>
  <si>
    <t>پیانو + صدای فلاش دوربین قدیمی</t>
  </si>
  <si>
    <t>پارالاکس واقعی (امضای بصری)</t>
  </si>
  <si>
    <t>Commons/Anefo (CC0/CC BY-SA) — ثبت لایسنس</t>
  </si>
  <si>
    <t>تیتراژ سری</t>
  </si>
  <si>
    <t>برند سری</t>
  </si>
  <si>
    <t>Barça Eras. Episode one.</t>
  </si>
  <si>
    <t>کارت عنوان سری (تایپوگرافی ثابت)</t>
  </si>
  <si>
    <t>SeriesTitle</t>
  </si>
  <si>
    <t>موزیک امضای سری</t>
  </si>
  <si>
    <t>تکرار برند در همه‌ی قسمت‌ها</t>
  </si>
  <si>
    <t>آمستردام ← بارسلونا، ۱۹۷۳</t>
  </si>
  <si>
    <t>آغاز سفر</t>
  </si>
  <si>
    <t>[Year]. The most expensive transfer in the world, and a city waiting for a reason to believe.</t>
  </si>
  <si>
    <t>نقشه‌ی متحرک آمستردام→بارسلونا + عکس‌ها</t>
  </si>
  <si>
    <t>MapRoute, ParallaxPhoto, Timeline</t>
  </si>
  <si>
    <t>موزیک دهه‌ی ۷۰ (تولیدی)</t>
  </si>
  <si>
    <t>حرکت روی نقشه</t>
  </si>
  <si>
    <t>فصل ۱۹۷۳-۷۴ و ۰-۵ برنابئو</t>
  </si>
  <si>
    <t>The night of [date]: zero... five.</t>
  </si>
  <si>
    <t>اسکوربورد قدیمی + تیتر روزنامه (بازسازی) + تخته</t>
  </si>
  <si>
    <t>ScoreBug(retro), NewspaperHeadline, Pitch</t>
  </si>
  <si>
    <t>جمعیت آرشیوی (SFX آزاد)</t>
  </si>
  <si>
    <t>اسکوربورد شمارنده</t>
  </si>
  <si>
    <t>کارت گذر زمان: «پانزده سال بعد…»</t>
  </si>
  <si>
    <t>Fifteen years later, he came back. Not to play — to rebuild.</t>
  </si>
  <si>
    <t>کارت تاریخ با افکت ورق تقویم</t>
  </si>
  <si>
    <t>مربی: «تیم رؤیایی»، ومبلی ۱۹۹۲</t>
  </si>
  <si>
    <t>اوج مربیگری</t>
  </si>
  <si>
    <t>His team played with three at the back and an idea nobody else dared to try.</t>
  </si>
  <si>
    <t>تخته‌ی گچی ۳-۴-۳ + عکس‌های آزاد</t>
  </si>
  <si>
    <t>Formation(3-4-3), Pitch, ParallaxPhoto</t>
  </si>
  <si>
    <t>آموزش سیستم</t>
  </si>
  <si>
    <t>عکس آزاد + حقایق عمومی</t>
  </si>
  <si>
    <t>میراث: ماسیا، گواردیولا، فلسفه</t>
  </si>
  <si>
    <t>پیوند به امروز</t>
  </si>
  <si>
    <t>Every Barça team since carries his fingerprints. Here is the family tree.</t>
  </si>
  <si>
    <t>شجره‌ی متحرک: کرایف → گواردیولا → … → امروز</t>
  </si>
  <si>
    <t>ارتباط با بازیکنان امروز</t>
  </si>
  <si>
    <t>پایان احساسی</t>
  </si>
  <si>
    <t>[Short real quote], he once said. The club still lives by it.</t>
  </si>
  <si>
    <t>آخرین عکس با زوم آهسته + نقل‌قول</t>
  </si>
  <si>
    <t>سکوت در پایان جمله</t>
  </si>
  <si>
    <t>«دوره‌ی بعدی کدام باشد؟»</t>
  </si>
  <si>
    <t>کامنت و جهت‌دهی سری</t>
  </si>
  <si>
    <t>Which era should Episode two cover? Kubala? The Dream Team? Tell me.</t>
  </si>
  <si>
    <t>مشارکت در انتخاب قسمت بعد</t>
  </si>
  <si>
    <t>پیش‌نمایش قسمت بعد</t>
  </si>
  <si>
    <t>ادامه‌ی سری</t>
  </si>
  <si>
    <t>Next time: [teaser].</t>
  </si>
  <si>
    <t>کارت «قسمت بعد» + اند‌اسکرین</t>
  </si>
  <si>
    <t>NextEpisode, EndScreen</t>
  </si>
  <si>
    <t>امضای سری</t>
  </si>
  <si>
    <t>نمونه‌ی عنوان: Where Were You? The 6-1 Night, Told by Fans   |   ریتم انتشار: ماهانه   |   ستون محتوایی: جامعه/احساس   |   ریسک حقوقی: متوسط (رضایت‌نامه)</t>
  </si>
  <si>
    <t>پیام صوتی یک هوادار روی صفحه‌ی سیاه</t>
  </si>
  <si>
    <t>اصالت انسانی فوری</t>
  </si>
  <si>
    <t>(Fan voice note) "I had already switched off the TV at 3-1..."</t>
  </si>
  <si>
    <t>صفحه‌ی سیاه + موج صدا + زیرنویس</t>
  </si>
  <si>
    <t>Waveform, Captions</t>
  </si>
  <si>
    <t>فقط صدای هوادار</t>
  </si>
  <si>
    <t>صدای واقعی انسان</t>
  </si>
  <si>
    <t>پیام صوتی با فرم رضایت</t>
  </si>
  <si>
    <t>۴-۰ پاریس: ناامیدی</t>
  </si>
  <si>
    <t>Three weeks earlier, in Paris, it had ended four-nil. Nobody had ever come back from that.</t>
  </si>
  <si>
    <t>تیترهای بازسازی‌شده + اسکور ۴-۰</t>
  </si>
  <si>
    <t>NewspaperHeadline, ScoreBug</t>
  </si>
  <si>
    <t>تضاد احساسی</t>
  </si>
  <si>
    <t>صداها ۱: قبل از بازی</t>
  </si>
  <si>
    <t>معرفی شخصیت‌ها</t>
  </si>
  <si>
    <t>Meet [name] in [city], [name] in [city], and [name] in [city].</t>
  </si>
  <si>
    <t>نقشه‌ی جهان با پین هوادارها + کارت هر نفر</t>
  </si>
  <si>
    <t>WorldMap, MapPin, PersonCard</t>
  </si>
  <si>
    <t>موزیک ملایم</t>
  </si>
  <si>
    <t>شخصیت‌پردازی</t>
  </si>
  <si>
    <t>فرم رضایت + عکس خود هوادار (اختیاری)</t>
  </si>
  <si>
    <t>بازی در ۴ موومان</t>
  </si>
  <si>
    <t>روایت بازی + واکنش‌ها</t>
  </si>
  <si>
    <t>Goal by goal, the voices change.</t>
  </si>
  <si>
    <t>اسکوربورد + بازسازی گل‌ها، بین هر گل یک واکنش</t>
  </si>
  <si>
    <t>ScoreBug, Pitch, Captions</t>
  </si>
  <si>
    <t>جمعیت + موزیک بالارونده</t>
  </si>
  <si>
    <t>تناوب بازی/انسان</t>
  </si>
  <si>
    <t>حقایق عمومی + خاطرات</t>
  </si>
  <si>
    <t>۷ دقیقه‌ی آخر، ثانیه به ثانیه</t>
  </si>
  <si>
    <t>اوج</t>
  </si>
  <si>
    <t>88:00. 89:00. Every second now, someone somewhere is screaming.</t>
  </si>
  <si>
    <t>ساعت بزرگ، اسلوموشن تخته، تقسیم صفحه با واکنش‌ها</t>
  </si>
  <si>
    <t>Clock, Pitch, SplitScreen</t>
  </si>
  <si>
    <t>ضربان قلب → انفجار</t>
  </si>
  <si>
    <t>کش دادن زمان</t>
  </si>
  <si>
    <t>سکوت</t>
  </si>
  <si>
    <t>تخلیه‌ی احساس</t>
  </si>
  <si>
    <t>صفحه‌ی سفید، فقط نتیجه ۶-۱</t>
  </si>
  <si>
    <t>سکوت کامل</t>
  </si>
  <si>
    <t>سکوت به‌عنوان افکت</t>
  </si>
  <si>
    <t>صداها ۲: این شب برای من چه معنی داشت</t>
  </si>
  <si>
    <t>عمق شخصی</t>
  </si>
  <si>
    <t>"[What it meant]" — [name], [city].</t>
  </si>
  <si>
    <t>کارت‌های نقل + عکس شخصی (با رضایت)</t>
  </si>
  <si>
    <t>QuoteCard, PersonCard</t>
  </si>
  <si>
    <t>داستان شخصی</t>
  </si>
  <si>
    <t>داستان خودت را بفرست</t>
  </si>
  <si>
    <t>جمع‌آوری برای قسمت بعد</t>
  </si>
  <si>
    <t>Next episode: [moment]. Send us your story — link in the description.</t>
  </si>
  <si>
    <t>کارت فرم/لینک</t>
  </si>
  <si>
    <t>حلقه‌ی مشارکت</t>
  </si>
  <si>
    <t>The tactics behind that night are explained here.</t>
  </si>
  <si>
    <t>نمونه‌ی عنوان: What If Neymar Never Left? We Simulated 1,000 Seasons   |   ریتم انتشار: ماهانه   |   ستون محتوایی: ویروسی/بحث   |   ریسک حقوقی: کم (برچسب فرضی)</t>
  </si>
  <si>
    <t>لحظه‌ی دوشاخه</t>
  </si>
  <si>
    <t>سؤال بزرگ</t>
  </si>
  <si>
    <t>August 2017. In our version of history, he says no.</t>
  </si>
  <si>
    <t>خط زمان که دو شاخه می‌شود</t>
  </si>
  <si>
    <t>TimelineFork</t>
  </si>
  <si>
    <t>افکت شیشه</t>
  </si>
  <si>
    <t>تصویر انشعاب تاریخ</t>
  </si>
  <si>
    <t>قواعد بازی (فرض‌ها)</t>
  </si>
  <si>
    <t>شفافیت = اعتبار</t>
  </si>
  <si>
    <t>Everything here is a model, not a prophecy. These are the assumptions — pause and check them.</t>
  </si>
  <si>
    <t>لیست فرض‌ها روی صفحه</t>
  </si>
  <si>
    <t>AssumptionList</t>
  </si>
  <si>
    <t>دعوت به چالش</t>
  </si>
  <si>
    <t>آنچه واقعاً اتفاق افتاد</t>
  </si>
  <si>
    <t>پایه‌ی مقایسه</t>
  </si>
  <si>
    <t>In reality, the money went to [players]. Here is what it bought.</t>
  </si>
  <si>
    <t>تایم‌لاین واقعی ۲۰۱۷-۲۰۲۱</t>
  </si>
  <si>
    <t>Timeline, StatCard</t>
  </si>
  <si>
    <t>ساخت مدل (Elo + پواسون) به زبان ساده</t>
  </si>
  <si>
    <t>آموزش جذاب</t>
  </si>
  <si>
    <t>Think of every match as rolling two loaded dice...</t>
  </si>
  <si>
    <t>انیمیشن تاس، توزیع گل</t>
  </si>
  <si>
    <t>DiceAnim, Distribution</t>
  </si>
  <si>
    <t>SFX تاس</t>
  </si>
  <si>
    <t>ساده‌سازی بصری</t>
  </si>
  <si>
    <t>ClubElo (چک شرایط) یا مدل خودمان</t>
  </si>
  <si>
    <t>«و حالا، شبیه‌سازی»</t>
  </si>
  <si>
    <t>Let us run it.</t>
  </si>
  <si>
    <t>شمارنده ۰ تا ۱۰۰۰</t>
  </si>
  <si>
    <t>Counter</t>
  </si>
  <si>
    <t>tick سریع</t>
  </si>
  <si>
    <t>انتظار</t>
  </si>
  <si>
    <t>۱۰۰۰ فصل شبیه‌سازی‌شده</t>
  </si>
  <si>
    <t>اوج داده</t>
  </si>
  <si>
    <t>In [X]% of our worlds, Barça win the Champions League at least once.</t>
  </si>
  <si>
    <t>هیستوگرام زنده که پر می‌شود؛ جام‌ها روی هم</t>
  </si>
  <si>
    <t>LiveHistogram, TrophyStack</t>
  </si>
  <si>
    <t>موزیک بالارونده</t>
  </si>
  <si>
    <t>داده‌ی زنده روی صفحه</t>
  </si>
  <si>
    <t>خروجی مدل خودمان</t>
  </si>
  <si>
    <t>موج‌های بعدی (برچسب: گمانه‌زنی)</t>
  </si>
  <si>
    <t>عمق روایت</t>
  </si>
  <si>
    <t>And then the questions get harder: does Messi still leave in 2021?</t>
  </si>
  <si>
    <t>درخت تصمیم با برچسب «speculation»</t>
  </si>
  <si>
    <t>DecisionTree, Label</t>
  </si>
  <si>
    <t>بحث‌برانگیز</t>
  </si>
  <si>
    <t>حکم + سؤال</t>
  </si>
  <si>
    <t>My verdict: [one line]. What counterfactual should we run next?</t>
  </si>
  <si>
    <t>کارت حکم</t>
  </si>
  <si>
    <t>VerdictCard</t>
  </si>
  <si>
    <t>پیشنهاد قسمت بعد</t>
  </si>
  <si>
    <t>The real story of that summer is here.</t>
  </si>
  <si>
    <t>نمونه‌ی عنوان: 10 Clásico Goals That Changed History   |   ریتم انتشار: ماهانه   |   ستون محتوایی: کلیک/سرگرمی   |   ریسک حقوقی: کم</t>
  </si>
  <si>
    <t>نیم‌نگاه مات به رتبه‌ی ۱</t>
  </si>
  <si>
    <t>Number one is not the goal you think it is.</t>
  </si>
  <si>
    <t>فریم مات‌شده‌ی رتبه ۱</t>
  </si>
  <si>
    <t>Blur, Pitch</t>
  </si>
  <si>
    <t>افکت مرموز</t>
  </si>
  <si>
    <t>پنهان‌کاری</t>
  </si>
  <si>
    <t>معیار انتخاب</t>
  </si>
  <si>
    <t>اعتبار</t>
  </si>
  <si>
    <t>Not the prettiest. The ones that changed what happened next.</t>
  </si>
  <si>
    <t>سه معیار با آیکون</t>
  </si>
  <si>
    <t>CriteriaCards</t>
  </si>
  <si>
    <t>رتبه‌های ۱۰ تا ۶ (هر کدام ۶۰ ثانیه)</t>
  </si>
  <si>
    <t>ریتم ثابت: بازسازی ۲۰ث + زمینه ۲۵ث + تأثیر ۱۵ث</t>
  </si>
  <si>
    <t>Number [N]: [Player], [Year]. To understand why it matters, rewind [X] weeks.</t>
  </si>
  <si>
    <t>بازسازی گل + کارت سال + تیتر</t>
  </si>
  <si>
    <t>Pitch, ScoreBug, RankBadge</t>
  </si>
  <si>
    <t>ریتم سریع، تغییر موزیک هر ۲ آیتم</t>
  </si>
  <si>
    <t>ریتم قابل پیش‌بینی + شگفتی</t>
  </si>
  <si>
    <t>نام‌های افتخاری</t>
  </si>
  <si>
    <t>تنفس</t>
  </si>
  <si>
    <t>A few that just missed out...</t>
  </si>
  <si>
    <t>کلاژ سریع</t>
  </si>
  <si>
    <t>Montage</t>
  </si>
  <si>
    <t>رتبه‌های ۵ تا ۲</t>
  </si>
  <si>
    <t>بالا رفتن تنش</t>
  </si>
  <si>
    <t>Number [N]...</t>
  </si>
  <si>
    <t>همان قالب با شدت بیشتر</t>
  </si>
  <si>
    <t>افزایش شدت</t>
  </si>
  <si>
    <t>رتبه‌ی ۱ (۸۰ ثانیه)</t>
  </si>
  <si>
    <t>Number one. The goal that changed not a match, but an era.</t>
  </si>
  <si>
    <t>بازسازی کامل + تیتر روزنامه + پیامد</t>
  </si>
  <si>
    <t>Pitch, NewspaperHeadline</t>
  </si>
  <si>
    <t>پاسخ به قلاب</t>
  </si>
  <si>
    <t>«رتبه‌ی ۱ تو کدام است؟»</t>
  </si>
  <si>
    <t>What is your number one? I already know someone will say [X].</t>
  </si>
  <si>
    <t>بحث در کامنت</t>
  </si>
  <si>
    <t>The full story of number one is here.</t>
  </si>
  <si>
    <t>نمونه‌ی عنوان: Iniesta, Stamford Bridge, 93rd Minute — 10 Angles on One Moment   |   ریتم انتشار: ماهانه   |   ستون محتوایی: امضای کانال   |   ریسک حقوقی: کم</t>
  </si>
  <si>
    <t>لحظه، منجمد</t>
  </si>
  <si>
    <t>میخکوب کردن</t>
  </si>
  <si>
    <t>Ten seconds. We are going to look at them ten different ways.</t>
  </si>
  <si>
    <t>تخته با یک فریم ثابت؛ ساعت ۹۲:۴۸</t>
  </si>
  <si>
    <t>Freeze, Clock, Pitch</t>
  </si>
  <si>
    <t>سکوت + ضربان</t>
  </si>
  <si>
    <t>ثابت‌ماندن تصویر</t>
  </si>
  <si>
    <t>قاعده‌ی بازی</t>
  </si>
  <si>
    <t>ساختار</t>
  </si>
  <si>
    <t>Each angle gets under a minute. By the end, you will never see this goal the same way.</t>
  </si>
  <si>
    <t>نوار ۱۰ خانه‌ای پیشرفت</t>
  </si>
  <si>
    <t>ProgressStrip(10)</t>
  </si>
  <si>
    <t>نوار پیشرفت (ماندگاری)</t>
  </si>
  <si>
    <t>زاویه‌های ۱ تا ۳: پاس، دوندگی، مدافع</t>
  </si>
  <si>
    <t>تحلیل فنی</t>
  </si>
  <si>
    <t>Angle one: the pass that should not have been possible.</t>
  </si>
  <si>
    <t>هر زاویه: یک دوربین/لایه‌ی متفاوت روی همان لحظه</t>
  </si>
  <si>
    <t>Pitch, PlayerDot, Arrow, CameraMove</t>
  </si>
  <si>
    <t>تغییر رنگ موزیک برای هر زاویه</t>
  </si>
  <si>
    <t>تغییر الگو هر ~۵۰ث</t>
  </si>
  <si>
    <t>زاویه‌های ۴ تا ۶: ساعت، فصل، داوری</t>
  </si>
  <si>
    <t>Angle five: what this season had cost them before this second.</t>
  </si>
  <si>
    <t>تایم‌لاین فصل، کارت داوری (فقط حقایق)</t>
  </si>
  <si>
    <t>نیمه‌ی راه</t>
  </si>
  <si>
    <t>Halfway. Now it gets personal.</t>
  </si>
  <si>
    <t>نوار پیشرفت ۶/۱۰</t>
  </si>
  <si>
    <t>ProgressStrip</t>
  </si>
  <si>
    <t>زاویه‌های ۷ تا ۹: جمعیت، فیزیک شوت، روزنامه‌ها</t>
  </si>
  <si>
    <t>انسانی + علمی</t>
  </si>
  <si>
    <t>Angle eight: at that distance, the ball took about [X] seconds to reach the net.</t>
  </si>
  <si>
    <t>فیزیک ساده‌ی شوت + تیتر بازسازی‌شده + خاطره‌ی هوادار</t>
  </si>
  <si>
    <t>Physics, NewspaperHeadline, QuoteCard</t>
  </si>
  <si>
    <t>جمعیت آرشیوی</t>
  </si>
  <si>
    <t>تنوع زاویه‌ها</t>
  </si>
  <si>
    <t>محاسبه‌ی خودمان + نقل کوتاه</t>
  </si>
  <si>
    <t>زاویه‌ی ۱۰: آنچه بعدش آمد</t>
  </si>
  <si>
    <t>پیامد بزرگ</t>
  </si>
  <si>
    <t>Angle ten: without this second, maybe no treble — and maybe no idea that took over football.</t>
  </si>
  <si>
    <t>شجره‌ی پیامد</t>
  </si>
  <si>
    <t>«کدام زاویه برایت تازه بود؟»</t>
  </si>
  <si>
    <t>Which angle was new to you? Which moment should get the ten-angle treatment next?</t>
  </si>
  <si>
    <t>The full story of that season is here.</t>
  </si>
  <si>
    <t>نمونه‌ی عنوان: The Offside Trap in 45 Seconds (from video A)   |   ریتم انتشار: ۲ تا ۳ عدد برای هر ویدیوی بلند   |   ستون محتوایی: قیف جذب   |   ریسک حقوقی: کم</t>
  </si>
  <si>
    <t>متن درشت + حرکت فوری</t>
  </si>
  <si>
    <t>توقف اسکرول</t>
  </si>
  <si>
    <t>Barça's riskiest weapon.</t>
  </si>
  <si>
    <t>تخته‌ی عمودی، اولین فریم پرحرکت</t>
  </si>
  <si>
    <t>Pitch(vertical), BigText</t>
  </si>
  <si>
    <t>ضربه</t>
  </si>
  <si>
    <t>بدون مقدمه</t>
  </si>
  <si>
    <t>از ویدیوی A</t>
  </si>
  <si>
    <t>مسئله</t>
  </si>
  <si>
    <t>چرا مهم است</t>
  </si>
  <si>
    <t>They defend almost at halfway. Why?</t>
  </si>
  <si>
    <t>دو خط و فاصله</t>
  </si>
  <si>
    <t>OffsideLine, Ruler</t>
  </si>
  <si>
    <t>صحنه‌ی اصلی</t>
  </si>
  <si>
    <t>پرداخت سریع</t>
  </si>
  <si>
    <t>Watch the line step — and the striker is offside by half a metre.</t>
  </si>
  <si>
    <t>بازسازی + زیرنویس کلمه‌به‌کلمه</t>
  </si>
  <si>
    <t>Pitch, Captions(word-level)</t>
  </si>
  <si>
    <t>موزیک سریع</t>
  </si>
  <si>
    <t>زیرنویس پویا</t>
  </si>
  <si>
    <t>پانچ‌لاین</t>
  </si>
  <si>
    <t>لحظه‌ی آها</t>
  </si>
  <si>
    <t>Weapon. And gamble.</t>
  </si>
  <si>
    <t>فریز + متن</t>
  </si>
  <si>
    <t>Freeze, BigText</t>
  </si>
  <si>
    <t>لوپ / ارجاع به ویدیوی کامل</t>
  </si>
  <si>
    <t>بازپخش + کلیک</t>
  </si>
  <si>
    <t>Full breakdown on the channel.</t>
  </si>
  <si>
    <t>کارت لینک ویدیوی مرتبط</t>
  </si>
  <si>
    <t>RelatedVideoTag</t>
  </si>
  <si>
    <t>لوپ به ابتدا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</si>
</sst>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m:ss"/>
  </numFmts>
  <fonts count="20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9"/>
      <name val="Arial"/>
    </font>
    <font>
      <b/>
      <sz val="8"/>
      <name val="Arial"/>
    </font>
    <font>
      <b/>
      <sz val="1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15"/>
      <name val="Arial"/>
    </font>
    <font>
      <sz val="11"/>
      <name val="Arial"/>
    </font>
    <font>
      <sz val="11"/>
      <color rgb="FF0000FF"/>
      <name val="Arial"/>
    </font>
    <font>
      <i/>
      <sz val="9"/>
      <color rgb="FF607D8B"/>
      <name val="Arial"/>
    </font>
    <font>
      <sz val="10"/>
      <color rgb="FF000000"/>
      <name val="Arial"/>
    </font>
    <font>
      <sz val="10"/>
      <color rgb="FF008000"/>
      <name val="Arial"/>
    </font>
    <font>
      <sz val="11"/>
      <color rgb="FF37474F"/>
      <name val="Arial"/>
    </font>
    <font>
      <sz val="10"/>
      <name val="Arial"/>
    </font>
    <font>
      <sz val="10"/>
      <color rgb="FF0000FF"/>
      <name val="Arial"/>
    </font>
    <font>
      <i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53935"/>
      </patternFill>
    </fill>
    <fill>
      <patternFill patternType="solid">
        <fgColor rgb="FFFBC02D"/>
      </patternFill>
    </fill>
    <fill>
      <patternFill patternType="solid">
        <fgColor rgb="FFFB8C00"/>
      </patternFill>
    </fill>
    <fill>
      <patternFill patternType="solid">
        <fgColor rgb="FF1E88E5"/>
      </patternFill>
    </fill>
    <fill>
      <patternFill patternType="solid">
        <fgColor rgb="FFB0BEC5"/>
      </patternFill>
    </fill>
    <fill>
      <patternFill patternType="solid">
        <fgColor rgb="FF8E24AA"/>
      </patternFill>
    </fill>
    <fill>
      <patternFill patternType="solid">
        <fgColor rgb="FFD81B60"/>
      </patternFill>
    </fill>
    <fill>
      <patternFill patternType="solid">
        <fgColor rgb="FF43A047"/>
      </patternFill>
    </fill>
    <fill>
      <patternFill patternType="solid">
        <fgColor rgb="FF424242"/>
      </patternFill>
    </fill>
    <fill>
      <patternFill patternType="solid">
        <fgColor rgb="FFFFFF00"/>
      </patternFill>
    </fill>
    <fill>
      <patternFill patternType="solid">
        <fgColor rgb="FF263238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/>
    <xf numFmtId="0" fontId="8" fillId="3" borderId="1" xfId="0" applyFont="1" applyFill="1" applyBorder="1" applyAlignment="1">
      <alignment horizontal="center" vertical="center"/>
    </xf>
    <xf numFmtId="0" fontId="0" fillId="3" borderId="0" xfId="0" applyFill="1"/>
    <xf numFmtId="0" fontId="8" fillId="4" borderId="1" xfId="0" applyFont="1" applyFill="1" applyBorder="1" applyAlignment="1">
      <alignment horizontal="center" vertical="center"/>
    </xf>
    <xf numFmtId="0" fontId="0" fillId="4" borderId="0" xfId="0" applyFill="1"/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0" xfId="0" applyFill="1"/>
    <xf numFmtId="0" fontId="8" fillId="7" borderId="1" xfId="0" applyFont="1" applyFill="1" applyBorder="1" applyAlignment="1">
      <alignment horizontal="center" vertical="center"/>
    </xf>
    <xf numFmtId="0" fontId="0" fillId="7" borderId="0" xfId="0" applyFill="1"/>
    <xf numFmtId="0" fontId="8" fillId="8" borderId="1" xfId="0" applyFont="1" applyFill="1" applyBorder="1" applyAlignment="1">
      <alignment horizontal="center" vertical="center"/>
    </xf>
    <xf numFmtId="0" fontId="0" fillId="8" borderId="0" xfId="0" applyFill="1"/>
    <xf numFmtId="0" fontId="8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10" borderId="1" xfId="0" applyFont="1" applyFill="1" applyBorder="1" applyAlignment="1">
      <alignment horizontal="center" vertical="center"/>
    </xf>
    <xf numFmtId="0" fontId="0" fillId="10" borderId="0" xfId="0" applyFill="1"/>
    <xf numFmtId="0" fontId="0" fillId="6" borderId="0" xfId="0" applyFill="1"/>
    <xf numFmtId="0" fontId="3" fillId="0" borderId="0" xfId="0" applyFont="1"/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10" fillId="0" borderId="0" xfId="0" applyFont="1"/>
    <xf numFmtId="0" fontId="11" fillId="0" borderId="0" xfId="0" applyFont="1"/>
    <xf numFmtId="0" fontId="12" fillId="11" borderId="0" xfId="0" applyFont="1" applyFill="1" applyAlignment="1">
      <alignment horizontal="center"/>
    </xf>
    <xf numFmtId="0" fontId="13" fillId="0" borderId="0" xfId="0" applyFont="1"/>
    <xf numFmtId="0" fontId="4" fillId="1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left" vertical="top" wrapText="1"/>
    </xf>
    <xf numFmtId="164" fontId="15" fillId="0" borderId="2" xfId="0" applyNumberFormat="1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2" fontId="15" fillId="0" borderId="2" xfId="0" applyNumberFormat="1" applyFont="1" applyBorder="1" applyAlignment="1">
      <alignment horizontal="center" vertical="top" wrapText="1"/>
    </xf>
    <xf numFmtId="45" fontId="3" fillId="0" borderId="0" xfId="0" applyNumberFormat="1" applyFont="1"/>
    <xf numFmtId="0" fontId="17" fillId="0" borderId="2" xfId="0" applyFont="1" applyBorder="1" applyAlignment="1">
      <alignment horizontal="center" vertical="top" wrapText="1"/>
    </xf>
    <xf numFmtId="45" fontId="18" fillId="0" borderId="2" xfId="0" applyNumberFormat="1" applyFont="1" applyBorder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top" wrapText="1"/>
    </xf>
    <xf numFmtId="9" fontId="17" fillId="0" borderId="2" xfId="0" applyNumberFormat="1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right" vertical="top" wrapText="1"/>
    </xf>
    <xf numFmtId="0" fontId="17" fillId="0" borderId="2" xfId="0" applyFont="1" applyBorder="1" applyAlignment="1">
      <alignment horizontal="right" vertical="top" wrapText="1"/>
    </xf>
    <xf numFmtId="0" fontId="19" fillId="0" borderId="2" xfId="0" applyFont="1" applyBorder="1" applyAlignment="1">
      <alignment horizontal="left" vertical="top" wrapText="1" readingOrder="1"/>
    </xf>
    <xf numFmtId="0" fontId="9" fillId="3" borderId="2" xfId="0" applyFont="1" applyFill="1" applyBorder="1" applyAlignment="1">
      <alignment horizontal="right" vertical="top" wrapText="1"/>
    </xf>
    <xf numFmtId="0" fontId="9" fillId="4" borderId="2" xfId="0" applyFont="1" applyFill="1" applyBorder="1" applyAlignment="1">
      <alignment horizontal="right" vertical="top" wrapText="1"/>
    </xf>
    <xf numFmtId="0" fontId="9" fillId="6" borderId="2" xfId="0" applyFont="1" applyFill="1" applyBorder="1" applyAlignment="1">
      <alignment horizontal="right" vertical="top" wrapText="1"/>
    </xf>
    <xf numFmtId="0" fontId="9" fillId="5" borderId="2" xfId="0" applyFont="1" applyFill="1" applyBorder="1" applyAlignment="1">
      <alignment horizontal="right" vertical="top" wrapText="1"/>
    </xf>
    <xf numFmtId="0" fontId="9" fillId="7" borderId="2" xfId="0" applyFont="1" applyFill="1" applyBorder="1" applyAlignment="1">
      <alignment horizontal="right" vertical="top" wrapText="1"/>
    </xf>
    <xf numFmtId="0" fontId="9" fillId="8" borderId="2" xfId="0" applyFont="1" applyFill="1" applyBorder="1" applyAlignment="1">
      <alignment horizontal="right" vertical="top" wrapText="1"/>
    </xf>
    <xf numFmtId="0" fontId="9" fillId="9" borderId="2" xfId="0" applyFont="1" applyFill="1" applyBorder="1" applyAlignment="1">
      <alignment horizontal="right" vertical="top" wrapText="1"/>
    </xf>
    <xf numFmtId="0" fontId="9" fillId="10" borderId="2" xfId="0" applyFont="1" applyFill="1" applyBorder="1" applyAlignment="1">
      <alignment horizontal="right" vertical="top" wrapText="1"/>
    </xf>
    <xf numFmtId="0" fontId="13" fillId="0" borderId="0" xfId="0" applyFont="1"/>
    <xf numFmtId="0" fontId="10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rightToLeft="1" tabSelected="1" workbookViewId="0"/>
  </sheetViews>
  <sheetFormatPr defaultRowHeight="15" x14ac:dyDescent="0.25"/>
  <cols>
    <col min="1" max="1" width="26" customWidth="1"/>
    <col min="2" max="2" width="90" customWidth="1"/>
  </cols>
  <sheetData>
    <row r="1" spans="1:2" ht="40.5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 t="s">
        <v>3</v>
      </c>
    </row>
    <row r="3" spans="1:2" ht="28.5" x14ac:dyDescent="0.25">
      <c r="A3" s="3" t="s">
        <v>4</v>
      </c>
      <c r="B3" s="2" t="s">
        <v>5</v>
      </c>
    </row>
    <row r="4" spans="1:2" x14ac:dyDescent="0.25">
      <c r="A4" s="3" t="s">
        <v>6</v>
      </c>
      <c r="B4" s="2" t="s">
        <v>7</v>
      </c>
    </row>
    <row r="5" spans="1:2" x14ac:dyDescent="0.25">
      <c r="A5" s="3" t="s">
        <v>8</v>
      </c>
      <c r="B5" s="2" t="s">
        <v>9</v>
      </c>
    </row>
    <row r="6" spans="1:2" ht="28.5" x14ac:dyDescent="0.25">
      <c r="A6" s="3" t="s">
        <v>10</v>
      </c>
      <c r="B6" s="2" t="s">
        <v>11</v>
      </c>
    </row>
    <row r="7" spans="1:2" x14ac:dyDescent="0.25">
      <c r="A7" s="3" t="s">
        <v>12</v>
      </c>
      <c r="B7" s="2" t="s">
        <v>13</v>
      </c>
    </row>
    <row r="8" spans="1:2" ht="28.5" x14ac:dyDescent="0.25">
      <c r="A8" s="3" t="s">
        <v>14</v>
      </c>
      <c r="B8" s="2" t="s">
        <v>15</v>
      </c>
    </row>
    <row r="9" spans="1:2" x14ac:dyDescent="0.25">
      <c r="A9" s="3" t="s">
        <v>1</v>
      </c>
      <c r="B9" s="2" t="s">
        <v>1</v>
      </c>
    </row>
    <row r="10" spans="1:2" x14ac:dyDescent="0.25">
      <c r="A10" s="3" t="s">
        <v>16</v>
      </c>
      <c r="B10" s="2" t="s">
        <v>17</v>
      </c>
    </row>
    <row r="11" spans="1:2" x14ac:dyDescent="0.25">
      <c r="A11" s="4" t="s">
        <v>18</v>
      </c>
      <c r="B11" s="2" t="s">
        <v>19</v>
      </c>
    </row>
    <row r="12" spans="1:2" x14ac:dyDescent="0.25">
      <c r="A12" s="5" t="s">
        <v>20</v>
      </c>
      <c r="B12" s="2" t="s">
        <v>21</v>
      </c>
    </row>
    <row r="13" spans="1:2" x14ac:dyDescent="0.25">
      <c r="A13" s="6" t="s">
        <v>22</v>
      </c>
      <c r="B13" s="2" t="s">
        <v>23</v>
      </c>
    </row>
    <row r="14" spans="1:2" x14ac:dyDescent="0.25">
      <c r="A14" s="7" t="s">
        <v>24</v>
      </c>
      <c r="B14" s="2" t="s">
        <v>25</v>
      </c>
    </row>
    <row r="15" spans="1:2" x14ac:dyDescent="0.25">
      <c r="A15" s="8" t="s">
        <v>26</v>
      </c>
      <c r="B15" s="2" t="s">
        <v>27</v>
      </c>
    </row>
    <row r="16" spans="1:2" x14ac:dyDescent="0.25">
      <c r="A16" s="9" t="s">
        <v>28</v>
      </c>
      <c r="B16" s="2" t="s">
        <v>29</v>
      </c>
    </row>
    <row r="17" spans="1:2" x14ac:dyDescent="0.25">
      <c r="A17" s="10" t="s">
        <v>30</v>
      </c>
      <c r="B17" s="2" t="s">
        <v>31</v>
      </c>
    </row>
    <row r="18" spans="1:2" x14ac:dyDescent="0.25">
      <c r="A18" s="11" t="s">
        <v>32</v>
      </c>
      <c r="B18" s="2" t="s">
        <v>33</v>
      </c>
    </row>
    <row r="19" spans="1:2" x14ac:dyDescent="0.25">
      <c r="A19" s="12" t="s">
        <v>34</v>
      </c>
      <c r="B19" s="2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2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141" width="2.5703125" customWidth="1"/>
  </cols>
  <sheetData>
    <row r="1" spans="1:141" x14ac:dyDescent="0.25">
      <c r="A1" s="13" t="s">
        <v>36</v>
      </c>
    </row>
    <row r="2" spans="1:141" x14ac:dyDescent="0.25">
      <c r="B2" s="14">
        <v>0</v>
      </c>
      <c r="F2" s="14">
        <v>1</v>
      </c>
      <c r="J2" s="14">
        <v>2</v>
      </c>
      <c r="N2" s="14">
        <v>3</v>
      </c>
      <c r="R2" s="14">
        <v>4</v>
      </c>
      <c r="V2" s="14">
        <v>5</v>
      </c>
      <c r="Z2" s="14">
        <v>6</v>
      </c>
      <c r="AD2" s="14">
        <v>7</v>
      </c>
      <c r="AH2" s="14">
        <v>8</v>
      </c>
      <c r="AL2" s="14">
        <v>9</v>
      </c>
      <c r="AP2" s="14">
        <v>10</v>
      </c>
      <c r="AT2" s="14">
        <v>11</v>
      </c>
      <c r="AX2" s="14">
        <v>12</v>
      </c>
      <c r="BB2" s="14">
        <v>13</v>
      </c>
      <c r="BF2" s="14">
        <v>14</v>
      </c>
      <c r="BJ2" s="14">
        <v>15</v>
      </c>
      <c r="BN2" s="14">
        <v>16</v>
      </c>
      <c r="BR2" s="14">
        <v>17</v>
      </c>
      <c r="BV2" s="14">
        <v>18</v>
      </c>
      <c r="BZ2" s="14">
        <v>19</v>
      </c>
      <c r="CD2" s="14">
        <v>20</v>
      </c>
      <c r="CH2" s="14">
        <v>21</v>
      </c>
      <c r="CL2" s="14">
        <v>22</v>
      </c>
      <c r="CP2" s="14">
        <v>23</v>
      </c>
      <c r="CT2" s="14">
        <v>24</v>
      </c>
      <c r="CX2" s="14">
        <v>25</v>
      </c>
      <c r="DB2" s="14">
        <v>26</v>
      </c>
      <c r="DF2" s="14">
        <v>27</v>
      </c>
      <c r="DJ2" s="14">
        <v>28</v>
      </c>
      <c r="DN2" s="14">
        <v>29</v>
      </c>
      <c r="DR2" s="14">
        <v>30</v>
      </c>
      <c r="DV2" s="14">
        <v>31</v>
      </c>
      <c r="DZ2" s="14">
        <v>32</v>
      </c>
      <c r="ED2" s="14">
        <v>33</v>
      </c>
      <c r="EH2" s="14">
        <v>34</v>
      </c>
    </row>
    <row r="3" spans="1:141" ht="26.1" customHeight="1" x14ac:dyDescent="0.25">
      <c r="A3" s="15" t="s">
        <v>37</v>
      </c>
      <c r="B3" s="16" t="s">
        <v>38</v>
      </c>
      <c r="C3" s="17"/>
      <c r="D3" s="18" t="s">
        <v>39</v>
      </c>
      <c r="E3" s="19"/>
      <c r="F3" s="20" t="s">
        <v>40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2" t="s">
        <v>41</v>
      </c>
      <c r="W3" s="23" t="s">
        <v>42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2" t="s">
        <v>41</v>
      </c>
      <c r="AY3" s="23" t="s">
        <v>42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2" t="s">
        <v>41</v>
      </c>
      <c r="BS3" s="23" t="s">
        <v>42</v>
      </c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5" t="s">
        <v>43</v>
      </c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7" t="s">
        <v>44</v>
      </c>
      <c r="DW3" s="28"/>
      <c r="DX3" s="28"/>
      <c r="DY3" s="28"/>
      <c r="DZ3" s="28"/>
      <c r="EA3" s="28"/>
      <c r="EB3" s="28"/>
      <c r="EC3" s="28"/>
      <c r="ED3" s="28"/>
      <c r="EE3" s="28"/>
      <c r="EF3" s="29" t="s">
        <v>45</v>
      </c>
      <c r="EG3" s="30"/>
      <c r="EH3" s="31" t="s">
        <v>46</v>
      </c>
      <c r="EI3" s="32"/>
      <c r="EJ3" s="32"/>
      <c r="EK3" s="32"/>
    </row>
    <row r="4" spans="1:141" ht="26.1" customHeight="1" x14ac:dyDescent="0.25">
      <c r="A4" s="15" t="s">
        <v>47</v>
      </c>
      <c r="B4" s="18" t="s">
        <v>39</v>
      </c>
      <c r="C4" s="19"/>
      <c r="D4" s="23" t="s">
        <v>42</v>
      </c>
      <c r="E4" s="24"/>
      <c r="F4" s="24"/>
      <c r="G4" s="24"/>
      <c r="H4" s="24"/>
      <c r="I4" s="24"/>
      <c r="J4" s="24"/>
      <c r="K4" s="24"/>
      <c r="L4" s="24"/>
      <c r="M4" s="24"/>
      <c r="N4" s="23" t="s">
        <v>42</v>
      </c>
      <c r="O4" s="24"/>
      <c r="P4" s="24"/>
      <c r="Q4" s="24"/>
      <c r="R4" s="24"/>
      <c r="S4" s="24"/>
      <c r="T4" s="24"/>
      <c r="U4" s="24"/>
      <c r="V4" s="24"/>
      <c r="W4" s="22" t="s">
        <v>41</v>
      </c>
      <c r="X4" s="23" t="s">
        <v>42</v>
      </c>
      <c r="Y4" s="24"/>
      <c r="Z4" s="24"/>
      <c r="AA4" s="24"/>
      <c r="AB4" s="24"/>
      <c r="AC4" s="24"/>
      <c r="AD4" s="24"/>
      <c r="AE4" s="24"/>
      <c r="AF4" s="25" t="s">
        <v>43</v>
      </c>
      <c r="AG4" s="26"/>
      <c r="AH4" s="26"/>
      <c r="AI4" s="26"/>
      <c r="AJ4" s="26"/>
      <c r="AK4" s="26"/>
      <c r="AL4" s="26"/>
      <c r="AM4" s="26"/>
      <c r="AN4" s="29" t="s">
        <v>45</v>
      </c>
      <c r="AO4" s="31" t="s">
        <v>46</v>
      </c>
    </row>
    <row r="5" spans="1:141" ht="26.1" customHeight="1" x14ac:dyDescent="0.25">
      <c r="A5" s="15" t="s">
        <v>48</v>
      </c>
      <c r="B5" s="16" t="s">
        <v>38</v>
      </c>
      <c r="C5" s="18" t="s">
        <v>39</v>
      </c>
      <c r="D5" s="19"/>
      <c r="E5" s="20" t="s">
        <v>40</v>
      </c>
      <c r="F5" s="21"/>
      <c r="G5" s="21"/>
      <c r="H5" s="21"/>
      <c r="I5" s="23" t="s">
        <v>42</v>
      </c>
      <c r="J5" s="24"/>
      <c r="K5" s="24"/>
      <c r="L5" s="24"/>
      <c r="M5" s="24"/>
      <c r="N5" s="24"/>
      <c r="O5" s="24"/>
      <c r="P5" s="24"/>
      <c r="Q5" s="24"/>
      <c r="R5" s="24"/>
      <c r="S5" s="22" t="s">
        <v>41</v>
      </c>
      <c r="T5" s="23" t="s">
        <v>42</v>
      </c>
      <c r="U5" s="24"/>
      <c r="V5" s="24"/>
      <c r="W5" s="24"/>
      <c r="X5" s="24"/>
      <c r="Y5" s="24"/>
      <c r="Z5" s="24"/>
      <c r="AA5" s="24"/>
      <c r="AB5" s="24"/>
      <c r="AC5" s="23" t="s">
        <v>42</v>
      </c>
      <c r="AD5" s="24"/>
      <c r="AE5" s="24"/>
      <c r="AF5" s="24"/>
      <c r="AG5" s="24"/>
      <c r="AH5" s="24"/>
      <c r="AI5" s="24"/>
      <c r="AJ5" s="24"/>
      <c r="AK5" s="24"/>
      <c r="AL5" s="25" t="s">
        <v>43</v>
      </c>
      <c r="AM5" s="26"/>
      <c r="AN5" s="26"/>
      <c r="AO5" s="26"/>
      <c r="AP5" s="26"/>
      <c r="AQ5" s="26"/>
      <c r="AR5" s="29" t="s">
        <v>45</v>
      </c>
      <c r="AS5" s="30"/>
      <c r="AT5" s="30"/>
      <c r="AU5" s="31" t="s">
        <v>46</v>
      </c>
      <c r="AV5" s="32"/>
      <c r="AW5" s="32"/>
    </row>
    <row r="6" spans="1:141" ht="26.1" customHeight="1" x14ac:dyDescent="0.25">
      <c r="A6" s="15" t="s">
        <v>49</v>
      </c>
      <c r="B6" s="16" t="s">
        <v>38</v>
      </c>
      <c r="C6" s="18" t="s">
        <v>39</v>
      </c>
      <c r="D6" s="19"/>
      <c r="E6" s="20" t="s">
        <v>40</v>
      </c>
      <c r="F6" s="21"/>
      <c r="G6" s="21"/>
      <c r="H6" s="21"/>
      <c r="I6" s="21"/>
      <c r="J6" s="21"/>
      <c r="K6" s="21"/>
      <c r="L6" s="23" t="s">
        <v>42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2" t="s">
        <v>41</v>
      </c>
      <c r="Y6" s="23" t="s">
        <v>42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3" t="s">
        <v>42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5" t="s">
        <v>43</v>
      </c>
      <c r="AW6" s="26"/>
      <c r="AX6" s="26"/>
      <c r="AY6" s="26"/>
      <c r="AZ6" s="26"/>
      <c r="BA6" s="26"/>
      <c r="BB6" s="27" t="s">
        <v>44</v>
      </c>
      <c r="BC6" s="28"/>
      <c r="BD6" s="28"/>
      <c r="BE6" s="28"/>
      <c r="BF6" s="28"/>
      <c r="BG6" s="29" t="s">
        <v>45</v>
      </c>
      <c r="BH6" s="31" t="s">
        <v>46</v>
      </c>
      <c r="BI6" s="32"/>
    </row>
    <row r="7" spans="1:141" ht="26.1" customHeight="1" x14ac:dyDescent="0.25">
      <c r="A7" s="15" t="s">
        <v>50</v>
      </c>
      <c r="B7" s="16" t="s">
        <v>38</v>
      </c>
      <c r="C7" s="17"/>
      <c r="D7" s="18" t="s">
        <v>39</v>
      </c>
      <c r="E7" s="19"/>
      <c r="F7" s="19"/>
      <c r="G7" s="19"/>
      <c r="H7" s="20" t="s">
        <v>40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 t="s">
        <v>41</v>
      </c>
      <c r="U7" s="33"/>
      <c r="V7" s="23" t="s">
        <v>42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 t="s">
        <v>42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2" t="s">
        <v>41</v>
      </c>
      <c r="BK7" s="33"/>
      <c r="BL7" s="23" t="s">
        <v>42</v>
      </c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5" t="s">
        <v>43</v>
      </c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7" t="s">
        <v>44</v>
      </c>
      <c r="CO7" s="28"/>
      <c r="CP7" s="28"/>
      <c r="CQ7" s="28"/>
      <c r="CR7" s="28"/>
      <c r="CS7" s="28"/>
      <c r="CT7" s="28"/>
      <c r="CU7" s="31" t="s">
        <v>46</v>
      </c>
      <c r="CV7" s="32"/>
      <c r="CW7" s="32"/>
    </row>
    <row r="8" spans="1:141" ht="26.1" customHeight="1" x14ac:dyDescent="0.25">
      <c r="A8" s="15" t="s">
        <v>51</v>
      </c>
      <c r="B8" s="16" t="s">
        <v>38</v>
      </c>
      <c r="C8" s="18" t="s">
        <v>39</v>
      </c>
      <c r="D8" s="20" t="s">
        <v>40</v>
      </c>
      <c r="E8" s="21"/>
      <c r="F8" s="21"/>
      <c r="G8" s="21"/>
      <c r="H8" s="21"/>
      <c r="I8" s="21"/>
      <c r="J8" s="21"/>
      <c r="K8" s="21"/>
      <c r="L8" s="23" t="s">
        <v>42</v>
      </c>
      <c r="M8" s="24"/>
      <c r="N8" s="24"/>
      <c r="O8" s="24"/>
      <c r="P8" s="24"/>
      <c r="Q8" s="24"/>
      <c r="R8" s="24"/>
      <c r="S8" s="24"/>
      <c r="T8" s="24"/>
      <c r="U8" s="24"/>
      <c r="V8" s="22" t="s">
        <v>41</v>
      </c>
      <c r="W8" s="23" t="s">
        <v>42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5" t="s">
        <v>43</v>
      </c>
      <c r="AI8" s="26"/>
      <c r="AJ8" s="26"/>
      <c r="AK8" s="26"/>
      <c r="AL8" s="26"/>
      <c r="AM8" s="26"/>
      <c r="AN8" s="26"/>
      <c r="AO8" s="26"/>
      <c r="AP8" s="27" t="s">
        <v>44</v>
      </c>
      <c r="AQ8" s="28"/>
      <c r="AR8" s="28"/>
      <c r="AS8" s="28"/>
      <c r="AT8" s="28"/>
      <c r="AU8" s="29" t="s">
        <v>45</v>
      </c>
      <c r="AV8" s="31" t="s">
        <v>46</v>
      </c>
      <c r="AW8" s="32"/>
    </row>
    <row r="9" spans="1:141" ht="26.1" customHeight="1" x14ac:dyDescent="0.25">
      <c r="A9" s="15" t="s">
        <v>52</v>
      </c>
      <c r="B9" s="16" t="s">
        <v>38</v>
      </c>
      <c r="C9" s="20" t="s">
        <v>40</v>
      </c>
      <c r="D9" s="21"/>
      <c r="E9" s="21"/>
      <c r="F9" s="27" t="s">
        <v>44</v>
      </c>
      <c r="G9" s="28"/>
      <c r="H9" s="28"/>
      <c r="I9" s="28"/>
      <c r="J9" s="28"/>
      <c r="K9" s="28"/>
      <c r="L9" s="28"/>
      <c r="M9" s="28"/>
      <c r="N9" s="23" t="s">
        <v>42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5" t="s">
        <v>43</v>
      </c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2" t="s">
        <v>41</v>
      </c>
      <c r="AQ9" s="27" t="s">
        <v>44</v>
      </c>
      <c r="AR9" s="28"/>
      <c r="AS9" s="28"/>
      <c r="AT9" s="28"/>
      <c r="AU9" s="28"/>
      <c r="AV9" s="28"/>
      <c r="AW9" s="28"/>
      <c r="AX9" s="28"/>
      <c r="AY9" s="28"/>
      <c r="AZ9" s="29" t="s">
        <v>45</v>
      </c>
      <c r="BA9" s="30"/>
      <c r="BB9" s="30"/>
      <c r="BC9" s="30"/>
      <c r="BD9" s="31" t="s">
        <v>46</v>
      </c>
      <c r="BE9" s="32"/>
    </row>
    <row r="10" spans="1:141" ht="26.1" customHeight="1" x14ac:dyDescent="0.25">
      <c r="A10" s="15" t="s">
        <v>53</v>
      </c>
      <c r="B10" s="16" t="s">
        <v>38</v>
      </c>
      <c r="C10" s="18" t="s">
        <v>39</v>
      </c>
      <c r="D10" s="19"/>
      <c r="E10" s="19"/>
      <c r="F10" s="20" t="s">
        <v>40</v>
      </c>
      <c r="G10" s="21"/>
      <c r="H10" s="21"/>
      <c r="I10" s="21"/>
      <c r="J10" s="21"/>
      <c r="K10" s="21"/>
      <c r="L10" s="21"/>
      <c r="M10" s="21"/>
      <c r="N10" s="23" t="s">
        <v>42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2" t="s">
        <v>41</v>
      </c>
      <c r="AA10" s="25" t="s">
        <v>43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3" t="s">
        <v>42</v>
      </c>
      <c r="AQ10" s="24"/>
      <c r="AR10" s="24"/>
      <c r="AS10" s="24"/>
      <c r="AT10" s="24"/>
      <c r="AU10" s="24"/>
      <c r="AV10" s="24"/>
      <c r="AW10" s="24"/>
      <c r="AX10" s="24"/>
      <c r="AY10" s="24"/>
      <c r="AZ10" s="29" t="s">
        <v>45</v>
      </c>
      <c r="BA10" s="30"/>
      <c r="BB10" s="30"/>
      <c r="BC10" s="31" t="s">
        <v>46</v>
      </c>
      <c r="BD10" s="32"/>
      <c r="BE10" s="32"/>
    </row>
    <row r="11" spans="1:141" ht="26.1" customHeight="1" x14ac:dyDescent="0.25">
      <c r="A11" s="15" t="s">
        <v>54</v>
      </c>
      <c r="B11" s="16" t="s">
        <v>38</v>
      </c>
      <c r="C11" s="18" t="s">
        <v>39</v>
      </c>
      <c r="D11" s="23" t="s">
        <v>42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2" t="s">
        <v>41</v>
      </c>
      <c r="Y11" s="33"/>
      <c r="Z11" s="23" t="s">
        <v>42</v>
      </c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5" t="s">
        <v>43</v>
      </c>
      <c r="AQ11" s="26"/>
      <c r="AR11" s="26"/>
      <c r="AS11" s="26"/>
      <c r="AT11" s="26"/>
      <c r="AU11" s="29" t="s">
        <v>45</v>
      </c>
      <c r="AV11" s="30"/>
      <c r="AW11" s="31" t="s">
        <v>46</v>
      </c>
    </row>
    <row r="12" spans="1:141" ht="26.1" customHeight="1" x14ac:dyDescent="0.25">
      <c r="A12" s="15" t="s">
        <v>55</v>
      </c>
      <c r="B12" s="16" t="s">
        <v>38</v>
      </c>
      <c r="C12" s="18" t="s">
        <v>39</v>
      </c>
      <c r="D12" s="23" t="s">
        <v>42</v>
      </c>
      <c r="E12" s="24"/>
      <c r="F12" s="24"/>
      <c r="G12" s="24"/>
      <c r="H12" s="24"/>
      <c r="I12" s="24"/>
      <c r="J12" s="24"/>
      <c r="K12" s="24"/>
      <c r="L12" s="24"/>
      <c r="M12" s="24"/>
      <c r="N12" s="23" t="s">
        <v>42</v>
      </c>
      <c r="O12" s="24"/>
      <c r="P12" s="24"/>
      <c r="Q12" s="24"/>
      <c r="R12" s="24"/>
      <c r="S12" s="24"/>
      <c r="T12" s="24"/>
      <c r="U12" s="24"/>
      <c r="V12" s="24"/>
      <c r="W12" s="24"/>
      <c r="X12" s="22" t="s">
        <v>41</v>
      </c>
      <c r="Y12" s="27" t="s">
        <v>44</v>
      </c>
      <c r="Z12" s="28"/>
      <c r="AA12" s="28"/>
      <c r="AB12" s="28"/>
      <c r="AC12" s="28"/>
      <c r="AD12" s="28"/>
      <c r="AE12" s="28"/>
      <c r="AF12" s="28"/>
      <c r="AG12" s="28"/>
      <c r="AH12" s="25" t="s">
        <v>43</v>
      </c>
      <c r="AI12" s="26"/>
      <c r="AJ12" s="26"/>
      <c r="AK12" s="26"/>
      <c r="AL12" s="29" t="s">
        <v>45</v>
      </c>
      <c r="AM12" s="30"/>
      <c r="AN12" s="31" t="s">
        <v>46</v>
      </c>
      <c r="AO12" s="32"/>
    </row>
    <row r="13" spans="1:141" ht="26.1" customHeight="1" x14ac:dyDescent="0.25">
      <c r="A13" s="15" t="s">
        <v>56</v>
      </c>
      <c r="B13" s="23" t="s">
        <v>42</v>
      </c>
      <c r="C13" s="24"/>
      <c r="D13" s="29" t="s">
        <v>45</v>
      </c>
    </row>
    <row r="15" spans="1:141" x14ac:dyDescent="0.25">
      <c r="A15" s="34" t="s">
        <v>57</v>
      </c>
    </row>
    <row r="16" spans="1:141" x14ac:dyDescent="0.25">
      <c r="A16" s="35" t="s">
        <v>18</v>
      </c>
    </row>
    <row r="17" spans="1:1" x14ac:dyDescent="0.25">
      <c r="A17" s="36" t="s">
        <v>20</v>
      </c>
    </row>
    <row r="18" spans="1:1" x14ac:dyDescent="0.25">
      <c r="A18" s="37" t="s">
        <v>22</v>
      </c>
    </row>
    <row r="19" spans="1:1" x14ac:dyDescent="0.25">
      <c r="A19" s="38" t="s">
        <v>24</v>
      </c>
    </row>
    <row r="20" spans="1:1" x14ac:dyDescent="0.25">
      <c r="A20" s="39" t="s">
        <v>26</v>
      </c>
    </row>
    <row r="21" spans="1:1" x14ac:dyDescent="0.25">
      <c r="A21" s="40" t="s">
        <v>28</v>
      </c>
    </row>
    <row r="22" spans="1:1" x14ac:dyDescent="0.25">
      <c r="A22" s="41" t="s">
        <v>30</v>
      </c>
    </row>
    <row r="23" spans="1:1" x14ac:dyDescent="0.25">
      <c r="A23" s="42" t="s">
        <v>32</v>
      </c>
    </row>
    <row r="24" spans="1:1" x14ac:dyDescent="0.25">
      <c r="A24" s="43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rightToLeft="1" workbookViewId="0">
      <pane ySplit="8" topLeftCell="A9" activePane="bottomLeft" state="frozen"/>
      <selection pane="bottomLeft"/>
    </sheetView>
  </sheetViews>
  <sheetFormatPr defaultRowHeight="15" x14ac:dyDescent="0.25"/>
  <cols>
    <col min="1" max="1" width="30" customWidth="1"/>
    <col min="2" max="2" width="50" customWidth="1"/>
    <col min="3" max="3" width="11" customWidth="1"/>
    <col min="4" max="4" width="22" customWidth="1"/>
    <col min="5" max="5" width="18" customWidth="1"/>
    <col min="6" max="6" width="14" customWidth="1"/>
    <col min="7" max="7" width="12" customWidth="1"/>
    <col min="8" max="9" width="14" customWidth="1"/>
    <col min="10" max="10" width="16" customWidth="1"/>
  </cols>
  <sheetData>
    <row r="1" spans="1:10" ht="19.5" x14ac:dyDescent="0.3">
      <c r="A1" s="44" t="s">
        <v>58</v>
      </c>
    </row>
    <row r="2" spans="1:10" x14ac:dyDescent="0.25">
      <c r="A2" s="34" t="s">
        <v>59</v>
      </c>
    </row>
    <row r="3" spans="1:10" x14ac:dyDescent="0.25">
      <c r="A3" s="45" t="s">
        <v>60</v>
      </c>
      <c r="B3" s="46">
        <v>30</v>
      </c>
      <c r="C3" s="47" t="s">
        <v>61</v>
      </c>
    </row>
    <row r="4" spans="1:10" x14ac:dyDescent="0.25">
      <c r="A4" s="45" t="s">
        <v>62</v>
      </c>
      <c r="B4" s="46">
        <v>1.9</v>
      </c>
      <c r="C4" s="47" t="s">
        <v>63</v>
      </c>
    </row>
    <row r="5" spans="1:10" x14ac:dyDescent="0.25">
      <c r="A5" s="45" t="s">
        <v>64</v>
      </c>
      <c r="B5" s="46">
        <v>6</v>
      </c>
      <c r="C5" s="47" t="s">
        <v>65</v>
      </c>
    </row>
    <row r="6" spans="1:10" x14ac:dyDescent="0.25">
      <c r="A6" s="45" t="s">
        <v>66</v>
      </c>
      <c r="B6" s="46">
        <v>4</v>
      </c>
      <c r="C6" s="47" t="s">
        <v>67</v>
      </c>
    </row>
    <row r="8" spans="1:10" ht="30" customHeight="1" x14ac:dyDescent="0.25">
      <c r="A8" s="48" t="s">
        <v>68</v>
      </c>
      <c r="B8" s="48" t="s">
        <v>69</v>
      </c>
      <c r="C8" s="48" t="s">
        <v>70</v>
      </c>
      <c r="D8" s="48" t="s">
        <v>71</v>
      </c>
      <c r="E8" s="48" t="s">
        <v>72</v>
      </c>
      <c r="F8" s="48" t="s">
        <v>73</v>
      </c>
      <c r="G8" s="48" t="s">
        <v>74</v>
      </c>
      <c r="H8" s="48" t="s">
        <v>75</v>
      </c>
      <c r="I8" s="48" t="s">
        <v>76</v>
      </c>
      <c r="J8" s="48" t="s">
        <v>77</v>
      </c>
    </row>
    <row r="9" spans="1:10" ht="32.1" customHeight="1" x14ac:dyDescent="0.25">
      <c r="A9" s="49" t="s">
        <v>37</v>
      </c>
      <c r="B9" s="50" t="s">
        <v>78</v>
      </c>
      <c r="C9" s="51">
        <f>'FS داستان کامل'!B3*1440</f>
        <v>35</v>
      </c>
      <c r="D9" s="52" t="s">
        <v>79</v>
      </c>
      <c r="E9" s="52" t="s">
        <v>80</v>
      </c>
      <c r="F9" s="52" t="s">
        <v>81</v>
      </c>
      <c r="G9" s="53">
        <f>'FS داستان کامل'!E3</f>
        <v>30</v>
      </c>
      <c r="H9" s="51">
        <f t="shared" ref="H9:H19" si="0">C9*60*$B$3/$B$4/3600</f>
        <v>9.2105263157894743</v>
      </c>
      <c r="I9" s="54">
        <f t="shared" ref="I9:I19" si="1">C9*60*$B$3/($B$5*$B$6)/3600</f>
        <v>0.72916666666666663</v>
      </c>
      <c r="J9" s="53">
        <f>COUNTA('FS داستان کامل'!G5:G40)</f>
        <v>13</v>
      </c>
    </row>
    <row r="10" spans="1:10" ht="32.1" customHeight="1" x14ac:dyDescent="0.25">
      <c r="A10" s="49" t="s">
        <v>47</v>
      </c>
      <c r="B10" s="50" t="s">
        <v>82</v>
      </c>
      <c r="C10" s="51">
        <f>'PL بازی مثل بارسا'!B3*1440</f>
        <v>10</v>
      </c>
      <c r="D10" s="52" t="s">
        <v>83</v>
      </c>
      <c r="E10" s="52" t="s">
        <v>84</v>
      </c>
      <c r="F10" s="52" t="s">
        <v>85</v>
      </c>
      <c r="G10" s="53">
        <f>'PL بازی مثل بارسا'!E3</f>
        <v>18</v>
      </c>
      <c r="H10" s="51">
        <f t="shared" si="0"/>
        <v>2.6315789473684212</v>
      </c>
      <c r="I10" s="54">
        <f t="shared" si="1"/>
        <v>0.20833333333333334</v>
      </c>
      <c r="J10" s="53">
        <f>COUNTA('PL بازی مثل بارسا'!G5:G40)</f>
        <v>9</v>
      </c>
    </row>
    <row r="11" spans="1:10" ht="32.1" customHeight="1" x14ac:dyDescent="0.25">
      <c r="A11" s="49" t="s">
        <v>48</v>
      </c>
      <c r="B11" s="50" t="s">
        <v>86</v>
      </c>
      <c r="C11" s="51">
        <f>'A تحلیل تاکتیکی'!B3*1440</f>
        <v>12</v>
      </c>
      <c r="D11" s="52" t="s">
        <v>87</v>
      </c>
      <c r="E11" s="52" t="s">
        <v>88</v>
      </c>
      <c r="F11" s="52" t="s">
        <v>85</v>
      </c>
      <c r="G11" s="53">
        <f>'A تحلیل تاکتیکی'!E3</f>
        <v>24</v>
      </c>
      <c r="H11" s="51">
        <f t="shared" si="0"/>
        <v>3.1578947368421058</v>
      </c>
      <c r="I11" s="54">
        <f t="shared" si="1"/>
        <v>0.25</v>
      </c>
      <c r="J11" s="53">
        <f>COUNTA('A تحلیل تاکتیکی'!G5:G40)</f>
        <v>10</v>
      </c>
    </row>
    <row r="12" spans="1:10" ht="32.1" customHeight="1" x14ac:dyDescent="0.25">
      <c r="A12" s="49" t="s">
        <v>49</v>
      </c>
      <c r="B12" s="50" t="s">
        <v>89</v>
      </c>
      <c r="C12" s="51">
        <f>'B کالبدشکافی بازیکن'!B3*1440</f>
        <v>15</v>
      </c>
      <c r="D12" s="52" t="s">
        <v>90</v>
      </c>
      <c r="E12" s="52" t="s">
        <v>91</v>
      </c>
      <c r="F12" s="52" t="s">
        <v>85</v>
      </c>
      <c r="G12" s="53">
        <f>'B کالبدشکافی بازیکن'!E3</f>
        <v>28</v>
      </c>
      <c r="H12" s="51">
        <f t="shared" si="0"/>
        <v>3.9473684210526319</v>
      </c>
      <c r="I12" s="54">
        <f t="shared" si="1"/>
        <v>0.3125</v>
      </c>
      <c r="J12" s="53">
        <f>COUNTA('B کالبدشکافی بازیکن'!G5:G40)</f>
        <v>11</v>
      </c>
    </row>
    <row r="13" spans="1:10" ht="32.1" customHeight="1" x14ac:dyDescent="0.25">
      <c r="A13" s="49" t="s">
        <v>50</v>
      </c>
      <c r="B13" s="50" t="s">
        <v>92</v>
      </c>
      <c r="C13" s="51">
        <f>'C مستند تاریخی'!B3*1440</f>
        <v>25</v>
      </c>
      <c r="D13" s="52" t="s">
        <v>79</v>
      </c>
      <c r="E13" s="52" t="s">
        <v>93</v>
      </c>
      <c r="F13" s="52" t="s">
        <v>94</v>
      </c>
      <c r="G13" s="53">
        <f>'C مستند تاریخی'!E3</f>
        <v>29</v>
      </c>
      <c r="H13" s="51">
        <f t="shared" si="0"/>
        <v>6.5789473684210531</v>
      </c>
      <c r="I13" s="54">
        <f t="shared" si="1"/>
        <v>0.52083333333333337</v>
      </c>
      <c r="J13" s="53">
        <f>COUNTA('C مستند تاریخی'!G5:G40)</f>
        <v>11</v>
      </c>
    </row>
    <row r="14" spans="1:10" ht="32.1" customHeight="1" x14ac:dyDescent="0.25">
      <c r="A14" s="49" t="s">
        <v>51</v>
      </c>
      <c r="B14" s="50" t="s">
        <v>95</v>
      </c>
      <c r="C14" s="51">
        <f>'D سری تاریخی با عکس'!B3*1440</f>
        <v>12</v>
      </c>
      <c r="D14" s="52" t="s">
        <v>96</v>
      </c>
      <c r="E14" s="52" t="s">
        <v>97</v>
      </c>
      <c r="F14" s="52" t="s">
        <v>98</v>
      </c>
      <c r="G14" s="53">
        <f>'D سری تاریخی با عکس'!E3</f>
        <v>22</v>
      </c>
      <c r="H14" s="51">
        <f t="shared" si="0"/>
        <v>3.1578947368421058</v>
      </c>
      <c r="I14" s="54">
        <f t="shared" si="1"/>
        <v>0.25</v>
      </c>
      <c r="J14" s="53">
        <f>COUNTA('D سری تاریخی با عکس'!G5:G40)</f>
        <v>10</v>
      </c>
    </row>
    <row r="15" spans="1:10" ht="32.1" customHeight="1" x14ac:dyDescent="0.25">
      <c r="A15" s="49" t="s">
        <v>52</v>
      </c>
      <c r="B15" s="50" t="s">
        <v>99</v>
      </c>
      <c r="C15" s="51">
        <f>'E تاریخ شفاهی هوادار'!B3*1440</f>
        <v>14</v>
      </c>
      <c r="D15" s="52" t="s">
        <v>79</v>
      </c>
      <c r="E15" s="52" t="s">
        <v>100</v>
      </c>
      <c r="F15" s="52" t="s">
        <v>101</v>
      </c>
      <c r="G15" s="53">
        <f>'E تاریخ شفاهی هوادار'!E3</f>
        <v>21</v>
      </c>
      <c r="H15" s="51">
        <f t="shared" si="0"/>
        <v>3.6842105263157898</v>
      </c>
      <c r="I15" s="54">
        <f t="shared" si="1"/>
        <v>0.29166666666666669</v>
      </c>
      <c r="J15" s="53">
        <f>COUNTA('E تاریخ شفاهی هوادار'!G5:G40)</f>
        <v>9</v>
      </c>
    </row>
    <row r="16" spans="1:10" ht="32.1" customHeight="1" x14ac:dyDescent="0.25">
      <c r="A16" s="49" t="s">
        <v>53</v>
      </c>
      <c r="B16" s="50" t="s">
        <v>102</v>
      </c>
      <c r="C16" s="51">
        <f>'F شبیه‌ساز «اگر…»'!B3*1440</f>
        <v>14</v>
      </c>
      <c r="D16" s="52" t="s">
        <v>79</v>
      </c>
      <c r="E16" s="52" t="s">
        <v>103</v>
      </c>
      <c r="F16" s="52" t="s">
        <v>104</v>
      </c>
      <c r="G16" s="53">
        <f>'F شبیه‌ساز «اگر…»'!E3</f>
        <v>20</v>
      </c>
      <c r="H16" s="51">
        <f t="shared" si="0"/>
        <v>3.6842105263157898</v>
      </c>
      <c r="I16" s="54">
        <f t="shared" si="1"/>
        <v>0.29166666666666669</v>
      </c>
      <c r="J16" s="53">
        <f>COUNTA('F شبیه‌ساز «اگر…»'!G5:G40)</f>
        <v>9</v>
      </c>
    </row>
    <row r="17" spans="1:10" ht="32.1" customHeight="1" x14ac:dyDescent="0.25">
      <c r="A17" s="49" t="s">
        <v>54</v>
      </c>
      <c r="B17" s="50" t="s">
        <v>105</v>
      </c>
      <c r="C17" s="51">
        <f>'G رتبه‌بندی'!B3*1440</f>
        <v>12</v>
      </c>
      <c r="D17" s="52" t="s">
        <v>79</v>
      </c>
      <c r="E17" s="52" t="s">
        <v>106</v>
      </c>
      <c r="F17" s="52" t="s">
        <v>85</v>
      </c>
      <c r="G17" s="53">
        <f>'G رتبه‌بندی'!E3</f>
        <v>17</v>
      </c>
      <c r="H17" s="51">
        <f t="shared" si="0"/>
        <v>3.1578947368421058</v>
      </c>
      <c r="I17" s="54">
        <f t="shared" si="1"/>
        <v>0.25</v>
      </c>
      <c r="J17" s="53">
        <f>COUNTA('G رتبه‌بندی'!G5:G40)</f>
        <v>8</v>
      </c>
    </row>
    <row r="18" spans="1:10" ht="32.1" customHeight="1" x14ac:dyDescent="0.25">
      <c r="A18" s="49" t="s">
        <v>55</v>
      </c>
      <c r="B18" s="50" t="s">
        <v>107</v>
      </c>
      <c r="C18" s="51">
        <f>'H یک لحظه ده زاویه'!B3*1440</f>
        <v>10</v>
      </c>
      <c r="D18" s="52" t="s">
        <v>79</v>
      </c>
      <c r="E18" s="52" t="s">
        <v>108</v>
      </c>
      <c r="F18" s="52" t="s">
        <v>85</v>
      </c>
      <c r="G18" s="53">
        <f>'H یک لحظه ده زاویه'!E3</f>
        <v>20</v>
      </c>
      <c r="H18" s="51">
        <f t="shared" si="0"/>
        <v>2.6315789473684212</v>
      </c>
      <c r="I18" s="54">
        <f t="shared" si="1"/>
        <v>0.20833333333333334</v>
      </c>
      <c r="J18" s="53">
        <f>COUNTA('H یک لحظه ده زاویه'!G5:G40)</f>
        <v>9</v>
      </c>
    </row>
    <row r="19" spans="1:10" ht="32.1" customHeight="1" x14ac:dyDescent="0.25">
      <c r="A19" s="49" t="s">
        <v>56</v>
      </c>
      <c r="B19" s="50" t="s">
        <v>109</v>
      </c>
      <c r="C19" s="51">
        <f>'I شورتز مشتق'!B3*1440</f>
        <v>0.75</v>
      </c>
      <c r="D19" s="52" t="s">
        <v>110</v>
      </c>
      <c r="E19" s="52" t="s">
        <v>111</v>
      </c>
      <c r="F19" s="52" t="s">
        <v>85</v>
      </c>
      <c r="G19" s="53">
        <f>'I شورتز مشتق'!E3</f>
        <v>7</v>
      </c>
      <c r="H19" s="51">
        <f t="shared" si="0"/>
        <v>0.19736842105263161</v>
      </c>
      <c r="I19" s="54">
        <f t="shared" si="1"/>
        <v>1.5625E-2</v>
      </c>
      <c r="J19" s="53">
        <f>COUNTA('I شورتز مشتق'!G5:G40)</f>
        <v>5</v>
      </c>
    </row>
    <row r="21" spans="1:10" x14ac:dyDescent="0.25">
      <c r="A21" s="71" t="s">
        <v>112</v>
      </c>
      <c r="B21" s="71"/>
      <c r="C21" s="71"/>
      <c r="D21" s="71"/>
      <c r="E21" s="71"/>
      <c r="F21" s="71"/>
      <c r="G21" s="71"/>
      <c r="H21" s="71"/>
      <c r="I21" s="71"/>
      <c r="J21" s="71"/>
    </row>
  </sheetData>
  <mergeCells count="1">
    <mergeCell ref="A21:J2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37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113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MAX(C5:C17)</f>
        <v>2.4305555555555556E-2</v>
      </c>
      <c r="D3" s="34" t="s">
        <v>115</v>
      </c>
      <c r="E3" s="34">
        <f>SUM(O5:O17)</f>
        <v>30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3.4722222222222224E-4</v>
      </c>
      <c r="D5" s="58">
        <f t="shared" ref="D5:D17" si="0">C5-B5</f>
        <v>3.4722222222222224E-4</v>
      </c>
      <c r="E5" s="59">
        <f t="shared" ref="E5:E17" si="1">IF($B$3=0,0,(C5-B5)/$B$3)</f>
        <v>1.4285714285714285E-2</v>
      </c>
      <c r="F5" s="60" t="s">
        <v>131</v>
      </c>
      <c r="G5" s="61" t="s">
        <v>132</v>
      </c>
      <c r="H5" s="61" t="s">
        <v>133</v>
      </c>
      <c r="I5" s="62" t="s">
        <v>134</v>
      </c>
      <c r="J5" s="61" t="s">
        <v>135</v>
      </c>
      <c r="K5" s="61" t="s">
        <v>136</v>
      </c>
      <c r="L5" s="61" t="s">
        <v>137</v>
      </c>
      <c r="M5" s="61" t="s">
        <v>138</v>
      </c>
      <c r="N5" s="61" t="s">
        <v>139</v>
      </c>
      <c r="O5" s="56">
        <v>3</v>
      </c>
    </row>
    <row r="6" spans="1:15" ht="57.95" customHeight="1" x14ac:dyDescent="0.25">
      <c r="A6" s="56">
        <v>2</v>
      </c>
      <c r="B6" s="57">
        <v>3.4722222222222224E-4</v>
      </c>
      <c r="C6" s="57">
        <v>8.1018518518518516E-4</v>
      </c>
      <c r="D6" s="58">
        <f t="shared" si="0"/>
        <v>4.6296296296296293E-4</v>
      </c>
      <c r="E6" s="59">
        <f t="shared" si="1"/>
        <v>1.9047619047619046E-2</v>
      </c>
      <c r="F6" s="63" t="s">
        <v>140</v>
      </c>
      <c r="G6" s="61" t="s">
        <v>141</v>
      </c>
      <c r="H6" s="61" t="s">
        <v>142</v>
      </c>
      <c r="I6" s="62" t="s">
        <v>143</v>
      </c>
      <c r="J6" s="61" t="s">
        <v>144</v>
      </c>
      <c r="K6" s="61" t="s">
        <v>145</v>
      </c>
      <c r="L6" s="61" t="s">
        <v>146</v>
      </c>
      <c r="M6" s="61" t="s">
        <v>147</v>
      </c>
      <c r="N6" s="61" t="s">
        <v>148</v>
      </c>
      <c r="O6" s="56">
        <v>2</v>
      </c>
    </row>
    <row r="7" spans="1:15" ht="57.95" customHeight="1" x14ac:dyDescent="0.25">
      <c r="A7" s="56">
        <v>3</v>
      </c>
      <c r="B7" s="57">
        <v>8.1018518518518516E-4</v>
      </c>
      <c r="C7" s="57">
        <v>3.472222222222222E-3</v>
      </c>
      <c r="D7" s="58">
        <f t="shared" si="0"/>
        <v>2.662037037037037E-3</v>
      </c>
      <c r="E7" s="59">
        <f t="shared" si="1"/>
        <v>0.10952380952380952</v>
      </c>
      <c r="F7" s="64" t="s">
        <v>149</v>
      </c>
      <c r="G7" s="61" t="s">
        <v>150</v>
      </c>
      <c r="H7" s="61" t="s">
        <v>151</v>
      </c>
      <c r="I7" s="62" t="s">
        <v>152</v>
      </c>
      <c r="J7" s="61" t="s">
        <v>153</v>
      </c>
      <c r="K7" s="61" t="s">
        <v>154</v>
      </c>
      <c r="L7" s="61" t="s">
        <v>155</v>
      </c>
      <c r="M7" s="61" t="s">
        <v>156</v>
      </c>
      <c r="N7" s="61" t="s">
        <v>157</v>
      </c>
      <c r="O7" s="56">
        <v>3</v>
      </c>
    </row>
    <row r="8" spans="1:15" ht="57.95" customHeight="1" x14ac:dyDescent="0.25">
      <c r="A8" s="56">
        <v>4</v>
      </c>
      <c r="B8" s="57">
        <v>3.472222222222222E-3</v>
      </c>
      <c r="C8" s="57">
        <v>3.7037037037037038E-3</v>
      </c>
      <c r="D8" s="58">
        <f t="shared" si="0"/>
        <v>2.3148148148148182E-4</v>
      </c>
      <c r="E8" s="59">
        <f t="shared" si="1"/>
        <v>9.5238095238095368E-3</v>
      </c>
      <c r="F8" s="65" t="s">
        <v>158</v>
      </c>
      <c r="G8" s="61" t="s">
        <v>159</v>
      </c>
      <c r="H8" s="61" t="s">
        <v>160</v>
      </c>
      <c r="I8" s="62" t="s">
        <v>148</v>
      </c>
      <c r="J8" s="61" t="s">
        <v>161</v>
      </c>
      <c r="K8" s="61" t="s">
        <v>161</v>
      </c>
      <c r="L8" s="61" t="s">
        <v>162</v>
      </c>
      <c r="M8" s="61" t="s">
        <v>148</v>
      </c>
      <c r="N8" s="61" t="s">
        <v>148</v>
      </c>
      <c r="O8" s="56">
        <v>1</v>
      </c>
    </row>
    <row r="9" spans="1:15" ht="57.95" customHeight="1" x14ac:dyDescent="0.25">
      <c r="A9" s="56">
        <v>5</v>
      </c>
      <c r="B9" s="57">
        <v>3.7037037037037038E-3</v>
      </c>
      <c r="C9" s="57">
        <v>8.3333333333333332E-3</v>
      </c>
      <c r="D9" s="58">
        <f t="shared" si="0"/>
        <v>4.6296296296296294E-3</v>
      </c>
      <c r="E9" s="59">
        <f t="shared" si="1"/>
        <v>0.19047619047619047</v>
      </c>
      <c r="F9" s="66" t="s">
        <v>163</v>
      </c>
      <c r="G9" s="61" t="s">
        <v>164</v>
      </c>
      <c r="H9" s="61" t="s">
        <v>165</v>
      </c>
      <c r="I9" s="62" t="s">
        <v>166</v>
      </c>
      <c r="J9" s="61" t="s">
        <v>167</v>
      </c>
      <c r="K9" s="61" t="s">
        <v>168</v>
      </c>
      <c r="L9" s="61" t="s">
        <v>169</v>
      </c>
      <c r="M9" s="61" t="s">
        <v>170</v>
      </c>
      <c r="N9" s="61" t="s">
        <v>171</v>
      </c>
      <c r="O9" s="56">
        <v>4</v>
      </c>
    </row>
    <row r="10" spans="1:15" ht="57.95" customHeight="1" x14ac:dyDescent="0.25">
      <c r="A10" s="56">
        <v>6</v>
      </c>
      <c r="B10" s="57">
        <v>8.3333333333333332E-3</v>
      </c>
      <c r="C10" s="57">
        <v>8.564814814814815E-3</v>
      </c>
      <c r="D10" s="58">
        <f t="shared" si="0"/>
        <v>2.3148148148148182E-4</v>
      </c>
      <c r="E10" s="59">
        <f t="shared" si="1"/>
        <v>9.5238095238095368E-3</v>
      </c>
      <c r="F10" s="65" t="s">
        <v>158</v>
      </c>
      <c r="G10" s="61" t="s">
        <v>172</v>
      </c>
      <c r="H10" s="61" t="s">
        <v>173</v>
      </c>
      <c r="I10" s="62" t="s">
        <v>148</v>
      </c>
      <c r="J10" s="61" t="s">
        <v>174</v>
      </c>
      <c r="K10" s="61" t="s">
        <v>174</v>
      </c>
      <c r="L10" s="61" t="s">
        <v>175</v>
      </c>
      <c r="M10" s="61" t="s">
        <v>148</v>
      </c>
      <c r="N10" s="61" t="s">
        <v>148</v>
      </c>
      <c r="O10" s="56">
        <v>1</v>
      </c>
    </row>
    <row r="11" spans="1:15" ht="57.95" customHeight="1" x14ac:dyDescent="0.25">
      <c r="A11" s="56">
        <v>7</v>
      </c>
      <c r="B11" s="57">
        <v>8.564814814814815E-3</v>
      </c>
      <c r="C11" s="57">
        <v>1.1805555555555555E-2</v>
      </c>
      <c r="D11" s="58">
        <f t="shared" si="0"/>
        <v>3.2407407407407402E-3</v>
      </c>
      <c r="E11" s="59">
        <f t="shared" si="1"/>
        <v>0.1333333333333333</v>
      </c>
      <c r="F11" s="66" t="s">
        <v>163</v>
      </c>
      <c r="G11" s="61" t="s">
        <v>176</v>
      </c>
      <c r="H11" s="61" t="s">
        <v>177</v>
      </c>
      <c r="I11" s="62" t="s">
        <v>178</v>
      </c>
      <c r="J11" s="61" t="s">
        <v>179</v>
      </c>
      <c r="K11" s="61" t="s">
        <v>180</v>
      </c>
      <c r="L11" s="61" t="s">
        <v>181</v>
      </c>
      <c r="M11" s="61" t="s">
        <v>182</v>
      </c>
      <c r="N11" s="61" t="s">
        <v>183</v>
      </c>
      <c r="O11" s="56">
        <v>3</v>
      </c>
    </row>
    <row r="12" spans="1:15" ht="57.95" customHeight="1" x14ac:dyDescent="0.25">
      <c r="A12" s="56">
        <v>8</v>
      </c>
      <c r="B12" s="57">
        <v>1.1805555555555555E-2</v>
      </c>
      <c r="C12" s="57">
        <v>1.2037037037037037E-2</v>
      </c>
      <c r="D12" s="58">
        <f t="shared" si="0"/>
        <v>2.3148148148148182E-4</v>
      </c>
      <c r="E12" s="59">
        <f t="shared" si="1"/>
        <v>9.5238095238095368E-3</v>
      </c>
      <c r="F12" s="65" t="s">
        <v>158</v>
      </c>
      <c r="G12" s="61" t="s">
        <v>184</v>
      </c>
      <c r="H12" s="61" t="s">
        <v>185</v>
      </c>
      <c r="I12" s="62" t="s">
        <v>186</v>
      </c>
      <c r="J12" s="61" t="s">
        <v>187</v>
      </c>
      <c r="K12" s="61" t="s">
        <v>188</v>
      </c>
      <c r="L12" s="61" t="s">
        <v>189</v>
      </c>
      <c r="M12" s="61" t="s">
        <v>190</v>
      </c>
      <c r="N12" s="61" t="s">
        <v>191</v>
      </c>
      <c r="O12" s="56">
        <v>1</v>
      </c>
    </row>
    <row r="13" spans="1:15" ht="57.95" customHeight="1" x14ac:dyDescent="0.25">
      <c r="A13" s="56">
        <v>9</v>
      </c>
      <c r="B13" s="57">
        <v>1.2037037037037037E-2</v>
      </c>
      <c r="C13" s="57">
        <v>1.8055555555555554E-2</v>
      </c>
      <c r="D13" s="58">
        <f t="shared" si="0"/>
        <v>6.0185185185185168E-3</v>
      </c>
      <c r="E13" s="59">
        <f t="shared" si="1"/>
        <v>0.24761904761904754</v>
      </c>
      <c r="F13" s="66" t="s">
        <v>163</v>
      </c>
      <c r="G13" s="61" t="s">
        <v>192</v>
      </c>
      <c r="H13" s="61" t="s">
        <v>193</v>
      </c>
      <c r="I13" s="62" t="s">
        <v>194</v>
      </c>
      <c r="J13" s="61" t="s">
        <v>195</v>
      </c>
      <c r="K13" s="61" t="s">
        <v>196</v>
      </c>
      <c r="L13" s="61" t="s">
        <v>197</v>
      </c>
      <c r="M13" s="61" t="s">
        <v>198</v>
      </c>
      <c r="N13" s="61" t="s">
        <v>183</v>
      </c>
      <c r="O13" s="56">
        <v>5</v>
      </c>
    </row>
    <row r="14" spans="1:15" ht="57.95" customHeight="1" x14ac:dyDescent="0.25">
      <c r="A14" s="56">
        <v>10</v>
      </c>
      <c r="B14" s="57">
        <v>1.8055555555555554E-2</v>
      </c>
      <c r="C14" s="57">
        <v>2.1527777777777778E-2</v>
      </c>
      <c r="D14" s="58">
        <f t="shared" si="0"/>
        <v>3.4722222222222238E-3</v>
      </c>
      <c r="E14" s="59">
        <f t="shared" si="1"/>
        <v>0.1428571428571429</v>
      </c>
      <c r="F14" s="67" t="s">
        <v>199</v>
      </c>
      <c r="G14" s="61" t="s">
        <v>200</v>
      </c>
      <c r="H14" s="61" t="s">
        <v>201</v>
      </c>
      <c r="I14" s="62" t="s">
        <v>202</v>
      </c>
      <c r="J14" s="61" t="s">
        <v>203</v>
      </c>
      <c r="K14" s="61" t="s">
        <v>204</v>
      </c>
      <c r="L14" s="61" t="s">
        <v>205</v>
      </c>
      <c r="M14" s="61" t="s">
        <v>206</v>
      </c>
      <c r="N14" s="61" t="s">
        <v>183</v>
      </c>
      <c r="O14" s="56">
        <v>3</v>
      </c>
    </row>
    <row r="15" spans="1:15" ht="57.95" customHeight="1" x14ac:dyDescent="0.25">
      <c r="A15" s="56">
        <v>11</v>
      </c>
      <c r="B15" s="57">
        <v>2.1527777777777778E-2</v>
      </c>
      <c r="C15" s="57">
        <v>2.326388888888889E-2</v>
      </c>
      <c r="D15" s="58">
        <f t="shared" si="0"/>
        <v>1.7361111111111119E-3</v>
      </c>
      <c r="E15" s="59">
        <f t="shared" si="1"/>
        <v>7.1428571428571452E-2</v>
      </c>
      <c r="F15" s="68" t="s">
        <v>207</v>
      </c>
      <c r="G15" s="61" t="s">
        <v>208</v>
      </c>
      <c r="H15" s="61" t="s">
        <v>209</v>
      </c>
      <c r="I15" s="62" t="s">
        <v>210</v>
      </c>
      <c r="J15" s="61" t="s">
        <v>211</v>
      </c>
      <c r="K15" s="61" t="s">
        <v>212</v>
      </c>
      <c r="L15" s="61" t="s">
        <v>189</v>
      </c>
      <c r="M15" s="61" t="s">
        <v>213</v>
      </c>
      <c r="N15" s="61" t="s">
        <v>214</v>
      </c>
      <c r="O15" s="56">
        <v>2</v>
      </c>
    </row>
    <row r="16" spans="1:15" ht="57.95" customHeight="1" x14ac:dyDescent="0.25">
      <c r="A16" s="56">
        <v>12</v>
      </c>
      <c r="B16" s="57">
        <v>2.326388888888889E-2</v>
      </c>
      <c r="C16" s="57">
        <v>2.3726851851851853E-2</v>
      </c>
      <c r="D16" s="58">
        <f t="shared" si="0"/>
        <v>4.6296296296296363E-4</v>
      </c>
      <c r="E16" s="59">
        <f t="shared" si="1"/>
        <v>1.9047619047619074E-2</v>
      </c>
      <c r="F16" s="69" t="s">
        <v>215</v>
      </c>
      <c r="G16" s="61" t="s">
        <v>216</v>
      </c>
      <c r="H16" s="61" t="s">
        <v>217</v>
      </c>
      <c r="I16" s="62" t="s">
        <v>218</v>
      </c>
      <c r="J16" s="61" t="s">
        <v>219</v>
      </c>
      <c r="K16" s="61" t="s">
        <v>220</v>
      </c>
      <c r="L16" s="61" t="s">
        <v>148</v>
      </c>
      <c r="M16" s="61" t="s">
        <v>221</v>
      </c>
      <c r="N16" s="61" t="s">
        <v>148</v>
      </c>
      <c r="O16" s="56">
        <v>1</v>
      </c>
    </row>
    <row r="17" spans="1:15" ht="57.95" customHeight="1" x14ac:dyDescent="0.25">
      <c r="A17" s="56">
        <v>13</v>
      </c>
      <c r="B17" s="57">
        <v>2.3726851851851853E-2</v>
      </c>
      <c r="C17" s="57">
        <v>2.4305555555555556E-2</v>
      </c>
      <c r="D17" s="58">
        <f t="shared" si="0"/>
        <v>5.787037037037028E-4</v>
      </c>
      <c r="E17" s="59">
        <f t="shared" si="1"/>
        <v>2.3809523809523774E-2</v>
      </c>
      <c r="F17" s="70" t="s">
        <v>222</v>
      </c>
      <c r="G17" s="61" t="s">
        <v>223</v>
      </c>
      <c r="H17" s="61" t="s">
        <v>224</v>
      </c>
      <c r="I17" s="62" t="s">
        <v>225</v>
      </c>
      <c r="J17" s="61" t="s">
        <v>226</v>
      </c>
      <c r="K17" s="61" t="s">
        <v>226</v>
      </c>
      <c r="L17" s="61" t="s">
        <v>227</v>
      </c>
      <c r="M17" s="61" t="s">
        <v>148</v>
      </c>
      <c r="N17" s="61" t="s">
        <v>148</v>
      </c>
      <c r="O17" s="56">
        <v>1</v>
      </c>
    </row>
    <row r="19" spans="1:15" x14ac:dyDescent="0.25">
      <c r="A19" s="71" t="s">
        <v>228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</row>
  </sheetData>
  <mergeCells count="3">
    <mergeCell ref="A1:O1"/>
    <mergeCell ref="A2:O2"/>
    <mergeCell ref="A19:O19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47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229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MAX(C5:C13)</f>
        <v>6.9444444444444441E-3</v>
      </c>
      <c r="D3" s="34" t="s">
        <v>115</v>
      </c>
      <c r="E3" s="34">
        <f>SUM(O5:O13)</f>
        <v>18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1.3888888888888889E-4</v>
      </c>
      <c r="D5" s="58">
        <f t="shared" ref="D5:D13" si="0">C5-B5</f>
        <v>1.3888888888888889E-4</v>
      </c>
      <c r="E5" s="59">
        <f t="shared" ref="E5:E13" si="1">IF($B$3=0,0,(C5-B5)/$B$3)</f>
        <v>0.02</v>
      </c>
      <c r="F5" s="60" t="s">
        <v>131</v>
      </c>
      <c r="G5" s="61" t="s">
        <v>230</v>
      </c>
      <c r="H5" s="61" t="s">
        <v>231</v>
      </c>
      <c r="I5" s="62" t="s">
        <v>232</v>
      </c>
      <c r="J5" s="61" t="s">
        <v>233</v>
      </c>
      <c r="K5" s="61" t="s">
        <v>234</v>
      </c>
      <c r="L5" s="61" t="s">
        <v>235</v>
      </c>
      <c r="M5" s="61" t="s">
        <v>236</v>
      </c>
      <c r="N5" s="61" t="s">
        <v>237</v>
      </c>
      <c r="O5" s="56">
        <v>2</v>
      </c>
    </row>
    <row r="6" spans="1:15" ht="57.95" customHeight="1" x14ac:dyDescent="0.25">
      <c r="A6" s="56">
        <v>2</v>
      </c>
      <c r="B6" s="57">
        <v>1.3888888888888889E-4</v>
      </c>
      <c r="C6" s="57">
        <v>4.0509259259259258E-4</v>
      </c>
      <c r="D6" s="58">
        <f t="shared" si="0"/>
        <v>2.6620370370370372E-4</v>
      </c>
      <c r="E6" s="59">
        <f t="shared" si="1"/>
        <v>3.8333333333333337E-2</v>
      </c>
      <c r="F6" s="63" t="s">
        <v>140</v>
      </c>
      <c r="G6" s="61" t="s">
        <v>238</v>
      </c>
      <c r="H6" s="61" t="s">
        <v>239</v>
      </c>
      <c r="I6" s="62" t="s">
        <v>240</v>
      </c>
      <c r="J6" s="61" t="s">
        <v>241</v>
      </c>
      <c r="K6" s="61" t="s">
        <v>242</v>
      </c>
      <c r="L6" s="61" t="s">
        <v>243</v>
      </c>
      <c r="M6" s="61" t="s">
        <v>244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4.0509259259259258E-4</v>
      </c>
      <c r="C7" s="57">
        <v>2.0833333333333333E-3</v>
      </c>
      <c r="D7" s="58">
        <f t="shared" si="0"/>
        <v>1.6782407407407408E-3</v>
      </c>
      <c r="E7" s="59">
        <f t="shared" si="1"/>
        <v>0.2416666666666667</v>
      </c>
      <c r="F7" s="66" t="s">
        <v>163</v>
      </c>
      <c r="G7" s="61" t="s">
        <v>245</v>
      </c>
      <c r="H7" s="61" t="s">
        <v>246</v>
      </c>
      <c r="I7" s="62" t="s">
        <v>247</v>
      </c>
      <c r="J7" s="61" t="s">
        <v>248</v>
      </c>
      <c r="K7" s="61" t="s">
        <v>249</v>
      </c>
      <c r="L7" s="61" t="s">
        <v>250</v>
      </c>
      <c r="M7" s="61" t="s">
        <v>251</v>
      </c>
      <c r="N7" s="61" t="s">
        <v>252</v>
      </c>
      <c r="O7" s="56">
        <v>3</v>
      </c>
    </row>
    <row r="8" spans="1:15" ht="57.95" customHeight="1" x14ac:dyDescent="0.25">
      <c r="A8" s="56">
        <v>4</v>
      </c>
      <c r="B8" s="57">
        <v>2.0833333333333333E-3</v>
      </c>
      <c r="C8" s="57">
        <v>3.7037037037037038E-3</v>
      </c>
      <c r="D8" s="58">
        <f t="shared" si="0"/>
        <v>1.6203703703703705E-3</v>
      </c>
      <c r="E8" s="59">
        <f t="shared" si="1"/>
        <v>0.23333333333333336</v>
      </c>
      <c r="F8" s="66" t="s">
        <v>163</v>
      </c>
      <c r="G8" s="61" t="s">
        <v>253</v>
      </c>
      <c r="H8" s="61" t="s">
        <v>246</v>
      </c>
      <c r="I8" s="62" t="s">
        <v>254</v>
      </c>
      <c r="J8" s="61" t="s">
        <v>255</v>
      </c>
      <c r="K8" s="61" t="s">
        <v>256</v>
      </c>
      <c r="L8" s="61" t="s">
        <v>148</v>
      </c>
      <c r="M8" s="61" t="s">
        <v>257</v>
      </c>
      <c r="N8" s="61" t="s">
        <v>258</v>
      </c>
      <c r="O8" s="56">
        <v>3</v>
      </c>
    </row>
    <row r="9" spans="1:15" ht="57.95" customHeight="1" x14ac:dyDescent="0.25">
      <c r="A9" s="56">
        <v>5</v>
      </c>
      <c r="B9" s="57">
        <v>3.7037037037037038E-3</v>
      </c>
      <c r="C9" s="57">
        <v>3.8773148148148148E-3</v>
      </c>
      <c r="D9" s="58">
        <f t="shared" si="0"/>
        <v>1.7361111111111093E-4</v>
      </c>
      <c r="E9" s="59">
        <f t="shared" si="1"/>
        <v>2.4999999999999974E-2</v>
      </c>
      <c r="F9" s="65" t="s">
        <v>158</v>
      </c>
      <c r="G9" s="61" t="s">
        <v>259</v>
      </c>
      <c r="H9" s="61" t="s">
        <v>160</v>
      </c>
      <c r="I9" s="62" t="s">
        <v>148</v>
      </c>
      <c r="J9" s="61" t="s">
        <v>260</v>
      </c>
      <c r="K9" s="61" t="s">
        <v>161</v>
      </c>
      <c r="L9" s="61" t="s">
        <v>148</v>
      </c>
      <c r="M9" s="61" t="s">
        <v>148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3.8773148148148148E-3</v>
      </c>
      <c r="C10" s="57">
        <v>5.324074074074074E-3</v>
      </c>
      <c r="D10" s="58">
        <f t="shared" si="0"/>
        <v>1.4467592592592592E-3</v>
      </c>
      <c r="E10" s="59">
        <f t="shared" si="1"/>
        <v>0.20833333333333334</v>
      </c>
      <c r="F10" s="66" t="s">
        <v>163</v>
      </c>
      <c r="G10" s="61" t="s">
        <v>261</v>
      </c>
      <c r="H10" s="61" t="s">
        <v>262</v>
      </c>
      <c r="I10" s="62" t="s">
        <v>263</v>
      </c>
      <c r="J10" s="61" t="s">
        <v>264</v>
      </c>
      <c r="K10" s="61" t="s">
        <v>265</v>
      </c>
      <c r="L10" s="61" t="s">
        <v>205</v>
      </c>
      <c r="M10" s="61" t="s">
        <v>266</v>
      </c>
      <c r="N10" s="61" t="s">
        <v>258</v>
      </c>
      <c r="O10" s="56">
        <v>3</v>
      </c>
    </row>
    <row r="11" spans="1:15" ht="57.95" customHeight="1" x14ac:dyDescent="0.25">
      <c r="A11" s="56">
        <v>7</v>
      </c>
      <c r="B11" s="57">
        <v>5.324074074074074E-3</v>
      </c>
      <c r="C11" s="57">
        <v>6.5972222222222222E-3</v>
      </c>
      <c r="D11" s="58">
        <f t="shared" si="0"/>
        <v>1.2731481481481483E-3</v>
      </c>
      <c r="E11" s="59">
        <f t="shared" si="1"/>
        <v>0.18333333333333335</v>
      </c>
      <c r="F11" s="67" t="s">
        <v>199</v>
      </c>
      <c r="G11" s="61" t="s">
        <v>267</v>
      </c>
      <c r="H11" s="61" t="s">
        <v>268</v>
      </c>
      <c r="I11" s="62" t="s">
        <v>269</v>
      </c>
      <c r="J11" s="61" t="s">
        <v>270</v>
      </c>
      <c r="K11" s="61" t="s">
        <v>271</v>
      </c>
      <c r="L11" s="61" t="s">
        <v>243</v>
      </c>
      <c r="M11" s="61" t="s">
        <v>272</v>
      </c>
      <c r="N11" s="61" t="s">
        <v>273</v>
      </c>
      <c r="O11" s="56">
        <v>3</v>
      </c>
    </row>
    <row r="12" spans="1:15" ht="57.95" customHeight="1" x14ac:dyDescent="0.25">
      <c r="A12" s="56">
        <v>8</v>
      </c>
      <c r="B12" s="57">
        <v>6.5972222222222222E-3</v>
      </c>
      <c r="C12" s="57">
        <v>6.828703703703704E-3</v>
      </c>
      <c r="D12" s="58">
        <f t="shared" si="0"/>
        <v>2.3148148148148182E-4</v>
      </c>
      <c r="E12" s="59">
        <f t="shared" si="1"/>
        <v>3.3333333333333381E-2</v>
      </c>
      <c r="F12" s="69" t="s">
        <v>215</v>
      </c>
      <c r="G12" s="61" t="s">
        <v>274</v>
      </c>
      <c r="H12" s="61" t="s">
        <v>275</v>
      </c>
      <c r="I12" s="62" t="s">
        <v>276</v>
      </c>
      <c r="J12" s="61" t="s">
        <v>277</v>
      </c>
      <c r="K12" s="61" t="s">
        <v>278</v>
      </c>
      <c r="L12" s="61" t="s">
        <v>148</v>
      </c>
      <c r="M12" s="61" t="s">
        <v>148</v>
      </c>
      <c r="N12" s="61" t="s">
        <v>148</v>
      </c>
      <c r="O12" s="56">
        <v>1</v>
      </c>
    </row>
    <row r="13" spans="1:15" ht="57.95" customHeight="1" x14ac:dyDescent="0.25">
      <c r="A13" s="56">
        <v>9</v>
      </c>
      <c r="B13" s="57">
        <v>6.828703703703704E-3</v>
      </c>
      <c r="C13" s="57">
        <v>6.9444444444444441E-3</v>
      </c>
      <c r="D13" s="58">
        <f t="shared" si="0"/>
        <v>1.1574074074074004E-4</v>
      </c>
      <c r="E13" s="59">
        <f t="shared" si="1"/>
        <v>1.6666666666666566E-2</v>
      </c>
      <c r="F13" s="70" t="s">
        <v>222</v>
      </c>
      <c r="G13" s="61" t="s">
        <v>223</v>
      </c>
      <c r="H13" s="61" t="s">
        <v>224</v>
      </c>
      <c r="I13" s="62" t="s">
        <v>279</v>
      </c>
      <c r="J13" s="61" t="s">
        <v>226</v>
      </c>
      <c r="K13" s="61" t="s">
        <v>226</v>
      </c>
      <c r="L13" s="61" t="s">
        <v>227</v>
      </c>
      <c r="M13" s="61" t="s">
        <v>148</v>
      </c>
      <c r="N13" s="61" t="s">
        <v>148</v>
      </c>
      <c r="O13" s="56">
        <v>1</v>
      </c>
    </row>
    <row r="15" spans="1:15" x14ac:dyDescent="0.25">
      <c r="A15" s="71" t="s">
        <v>228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</sheetData>
  <mergeCells count="3">
    <mergeCell ref="A1:O1"/>
    <mergeCell ref="A2:O2"/>
    <mergeCell ref="A15:O15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48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280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MAX(C5:C14)</f>
        <v>8.3333333333333332E-3</v>
      </c>
      <c r="D3" s="34" t="s">
        <v>115</v>
      </c>
      <c r="E3" s="34">
        <f>SUM(O5:O14)</f>
        <v>24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1.7361111111111112E-4</v>
      </c>
      <c r="D5" s="58">
        <f t="shared" ref="D5:D14" si="0">C5-B5</f>
        <v>1.7361111111111112E-4</v>
      </c>
      <c r="E5" s="59">
        <f t="shared" ref="E5:E14" si="1">IF($B$3=0,0,(C5-B5)/$B$3)</f>
        <v>2.0833333333333336E-2</v>
      </c>
      <c r="F5" s="60" t="s">
        <v>131</v>
      </c>
      <c r="G5" s="61" t="s">
        <v>281</v>
      </c>
      <c r="H5" s="61" t="s">
        <v>282</v>
      </c>
      <c r="I5" s="62" t="s">
        <v>283</v>
      </c>
      <c r="J5" s="61" t="s">
        <v>284</v>
      </c>
      <c r="K5" s="61" t="s">
        <v>285</v>
      </c>
      <c r="L5" s="61" t="s">
        <v>286</v>
      </c>
      <c r="M5" s="61" t="s">
        <v>287</v>
      </c>
      <c r="N5" s="61" t="s">
        <v>237</v>
      </c>
      <c r="O5" s="56">
        <v>3</v>
      </c>
    </row>
    <row r="6" spans="1:15" ht="57.95" customHeight="1" x14ac:dyDescent="0.25">
      <c r="A6" s="56">
        <v>2</v>
      </c>
      <c r="B6" s="57">
        <v>1.7361111111111112E-4</v>
      </c>
      <c r="C6" s="57">
        <v>5.2083333333333333E-4</v>
      </c>
      <c r="D6" s="58">
        <f t="shared" si="0"/>
        <v>3.4722222222222218E-4</v>
      </c>
      <c r="E6" s="59">
        <f t="shared" si="1"/>
        <v>4.1666666666666664E-2</v>
      </c>
      <c r="F6" s="63" t="s">
        <v>140</v>
      </c>
      <c r="G6" s="61" t="s">
        <v>288</v>
      </c>
      <c r="H6" s="61" t="s">
        <v>289</v>
      </c>
      <c r="I6" s="62" t="s">
        <v>290</v>
      </c>
      <c r="J6" s="61" t="s">
        <v>291</v>
      </c>
      <c r="K6" s="61" t="s">
        <v>292</v>
      </c>
      <c r="L6" s="61" t="s">
        <v>293</v>
      </c>
      <c r="M6" s="61" t="s">
        <v>294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5.2083333333333333E-4</v>
      </c>
      <c r="C7" s="57">
        <v>1.2152777777777778E-3</v>
      </c>
      <c r="D7" s="58">
        <f t="shared" si="0"/>
        <v>6.9444444444444447E-4</v>
      </c>
      <c r="E7" s="59">
        <f t="shared" si="1"/>
        <v>8.3333333333333343E-2</v>
      </c>
      <c r="F7" s="64" t="s">
        <v>149</v>
      </c>
      <c r="G7" s="61" t="s">
        <v>295</v>
      </c>
      <c r="H7" s="61" t="s">
        <v>296</v>
      </c>
      <c r="I7" s="62" t="s">
        <v>297</v>
      </c>
      <c r="J7" s="61" t="s">
        <v>298</v>
      </c>
      <c r="K7" s="61" t="s">
        <v>299</v>
      </c>
      <c r="L7" s="61" t="s">
        <v>300</v>
      </c>
      <c r="M7" s="61" t="s">
        <v>301</v>
      </c>
      <c r="N7" s="61" t="s">
        <v>302</v>
      </c>
      <c r="O7" s="56">
        <v>2</v>
      </c>
    </row>
    <row r="8" spans="1:15" ht="57.95" customHeight="1" x14ac:dyDescent="0.25">
      <c r="A8" s="56">
        <v>4</v>
      </c>
      <c r="B8" s="57">
        <v>1.2152777777777778E-3</v>
      </c>
      <c r="C8" s="57">
        <v>2.9513888888888888E-3</v>
      </c>
      <c r="D8" s="58">
        <f t="shared" si="0"/>
        <v>1.736111111111111E-3</v>
      </c>
      <c r="E8" s="59">
        <f t="shared" si="1"/>
        <v>0.20833333333333331</v>
      </c>
      <c r="F8" s="66" t="s">
        <v>163</v>
      </c>
      <c r="G8" s="61" t="s">
        <v>303</v>
      </c>
      <c r="H8" s="61" t="s">
        <v>304</v>
      </c>
      <c r="I8" s="62" t="s">
        <v>305</v>
      </c>
      <c r="J8" s="61" t="s">
        <v>306</v>
      </c>
      <c r="K8" s="61" t="s">
        <v>307</v>
      </c>
      <c r="L8" s="61" t="s">
        <v>308</v>
      </c>
      <c r="M8" s="61" t="s">
        <v>309</v>
      </c>
      <c r="N8" s="61" t="s">
        <v>310</v>
      </c>
      <c r="O8" s="56">
        <v>4</v>
      </c>
    </row>
    <row r="9" spans="1:15" ht="57.95" customHeight="1" x14ac:dyDescent="0.25">
      <c r="A9" s="56">
        <v>5</v>
      </c>
      <c r="B9" s="57">
        <v>2.9513888888888888E-3</v>
      </c>
      <c r="C9" s="57">
        <v>3.1250000000000002E-3</v>
      </c>
      <c r="D9" s="58">
        <f t="shared" si="0"/>
        <v>1.7361111111111136E-4</v>
      </c>
      <c r="E9" s="59">
        <f t="shared" si="1"/>
        <v>2.0833333333333363E-2</v>
      </c>
      <c r="F9" s="65" t="s">
        <v>158</v>
      </c>
      <c r="G9" s="61" t="s">
        <v>311</v>
      </c>
      <c r="H9" s="61" t="s">
        <v>312</v>
      </c>
      <c r="I9" s="62" t="s">
        <v>313</v>
      </c>
      <c r="J9" s="61" t="s">
        <v>314</v>
      </c>
      <c r="K9" s="61" t="s">
        <v>161</v>
      </c>
      <c r="L9" s="61" t="s">
        <v>315</v>
      </c>
      <c r="M9" s="61" t="s">
        <v>316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3.1250000000000002E-3</v>
      </c>
      <c r="C10" s="57">
        <v>4.6874999999999998E-3</v>
      </c>
      <c r="D10" s="58">
        <f t="shared" si="0"/>
        <v>1.5624999999999997E-3</v>
      </c>
      <c r="E10" s="59">
        <f t="shared" si="1"/>
        <v>0.18749999999999997</v>
      </c>
      <c r="F10" s="66" t="s">
        <v>163</v>
      </c>
      <c r="G10" s="61" t="s">
        <v>317</v>
      </c>
      <c r="H10" s="61" t="s">
        <v>318</v>
      </c>
      <c r="I10" s="62" t="s">
        <v>319</v>
      </c>
      <c r="J10" s="61" t="s">
        <v>320</v>
      </c>
      <c r="K10" s="61" t="s">
        <v>321</v>
      </c>
      <c r="L10" s="61" t="s">
        <v>322</v>
      </c>
      <c r="M10" s="61" t="s">
        <v>323</v>
      </c>
      <c r="N10" s="61" t="s">
        <v>324</v>
      </c>
      <c r="O10" s="56">
        <v>4</v>
      </c>
    </row>
    <row r="11" spans="1:15" ht="57.95" customHeight="1" x14ac:dyDescent="0.25">
      <c r="A11" s="56">
        <v>7</v>
      </c>
      <c r="B11" s="57">
        <v>4.6874999999999998E-3</v>
      </c>
      <c r="C11" s="57">
        <v>6.2500000000000003E-3</v>
      </c>
      <c r="D11" s="58">
        <f t="shared" si="0"/>
        <v>1.5625000000000005E-3</v>
      </c>
      <c r="E11" s="59">
        <f t="shared" si="1"/>
        <v>0.18750000000000006</v>
      </c>
      <c r="F11" s="66" t="s">
        <v>163</v>
      </c>
      <c r="G11" s="61" t="s">
        <v>325</v>
      </c>
      <c r="H11" s="61" t="s">
        <v>326</v>
      </c>
      <c r="I11" s="62" t="s">
        <v>327</v>
      </c>
      <c r="J11" s="61" t="s">
        <v>328</v>
      </c>
      <c r="K11" s="61" t="s">
        <v>329</v>
      </c>
      <c r="L11" s="61" t="s">
        <v>330</v>
      </c>
      <c r="M11" s="61" t="s">
        <v>331</v>
      </c>
      <c r="N11" s="61" t="s">
        <v>332</v>
      </c>
      <c r="O11" s="56">
        <v>4</v>
      </c>
    </row>
    <row r="12" spans="1:15" ht="57.95" customHeight="1" x14ac:dyDescent="0.25">
      <c r="A12" s="56">
        <v>8</v>
      </c>
      <c r="B12" s="57">
        <v>6.2500000000000003E-3</v>
      </c>
      <c r="C12" s="57">
        <v>7.2916666666666668E-3</v>
      </c>
      <c r="D12" s="58">
        <f t="shared" si="0"/>
        <v>1.0416666666666664E-3</v>
      </c>
      <c r="E12" s="59">
        <f t="shared" si="1"/>
        <v>0.12499999999999997</v>
      </c>
      <c r="F12" s="67" t="s">
        <v>199</v>
      </c>
      <c r="G12" s="61" t="s">
        <v>333</v>
      </c>
      <c r="H12" s="61" t="s">
        <v>334</v>
      </c>
      <c r="I12" s="62" t="s">
        <v>335</v>
      </c>
      <c r="J12" s="61" t="s">
        <v>336</v>
      </c>
      <c r="K12" s="61" t="s">
        <v>337</v>
      </c>
      <c r="L12" s="61" t="s">
        <v>205</v>
      </c>
      <c r="M12" s="61" t="s">
        <v>338</v>
      </c>
      <c r="N12" s="61" t="s">
        <v>148</v>
      </c>
      <c r="O12" s="56">
        <v>3</v>
      </c>
    </row>
    <row r="13" spans="1:15" ht="57.95" customHeight="1" x14ac:dyDescent="0.25">
      <c r="A13" s="56">
        <v>9</v>
      </c>
      <c r="B13" s="57">
        <v>7.2916666666666668E-3</v>
      </c>
      <c r="C13" s="57">
        <v>7.8703703703703696E-3</v>
      </c>
      <c r="D13" s="58">
        <f t="shared" si="0"/>
        <v>5.787037037037028E-4</v>
      </c>
      <c r="E13" s="59">
        <f t="shared" si="1"/>
        <v>6.9444444444444337E-2</v>
      </c>
      <c r="F13" s="69" t="s">
        <v>215</v>
      </c>
      <c r="G13" s="61" t="s">
        <v>339</v>
      </c>
      <c r="H13" s="61" t="s">
        <v>340</v>
      </c>
      <c r="I13" s="62" t="s">
        <v>341</v>
      </c>
      <c r="J13" s="61" t="s">
        <v>342</v>
      </c>
      <c r="K13" s="61" t="s">
        <v>343</v>
      </c>
      <c r="L13" s="61" t="s">
        <v>344</v>
      </c>
      <c r="M13" s="61" t="s">
        <v>345</v>
      </c>
      <c r="N13" s="61" t="s">
        <v>148</v>
      </c>
      <c r="O13" s="56">
        <v>1</v>
      </c>
    </row>
    <row r="14" spans="1:15" ht="57.95" customHeight="1" x14ac:dyDescent="0.25">
      <c r="A14" s="56">
        <v>10</v>
      </c>
      <c r="B14" s="57">
        <v>7.8703703703703696E-3</v>
      </c>
      <c r="C14" s="57">
        <v>8.3333333333333332E-3</v>
      </c>
      <c r="D14" s="58">
        <f t="shared" si="0"/>
        <v>4.6296296296296363E-4</v>
      </c>
      <c r="E14" s="59">
        <f t="shared" si="1"/>
        <v>5.5555555555555636E-2</v>
      </c>
      <c r="F14" s="70" t="s">
        <v>222</v>
      </c>
      <c r="G14" s="61" t="s">
        <v>223</v>
      </c>
      <c r="H14" s="61" t="s">
        <v>346</v>
      </c>
      <c r="I14" s="62" t="s">
        <v>347</v>
      </c>
      <c r="J14" s="61" t="s">
        <v>348</v>
      </c>
      <c r="K14" s="61" t="s">
        <v>226</v>
      </c>
      <c r="L14" s="61" t="s">
        <v>349</v>
      </c>
      <c r="M14" s="61" t="s">
        <v>350</v>
      </c>
      <c r="N14" s="61" t="s">
        <v>148</v>
      </c>
      <c r="O14" s="56">
        <v>1</v>
      </c>
    </row>
    <row r="16" spans="1:15" x14ac:dyDescent="0.25">
      <c r="A16" s="71" t="s">
        <v>228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</row>
  </sheetData>
  <mergeCells count="3">
    <mergeCell ref="A1:O1"/>
    <mergeCell ref="A2:O2"/>
    <mergeCell ref="A16:O1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49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351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MAX(C5:C15)</f>
        <v>1.0416666666666666E-2</v>
      </c>
      <c r="D3" s="34" t="s">
        <v>115</v>
      </c>
      <c r="E3" s="34">
        <f>SUM(O5:O15)</f>
        <v>28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2.3148148148148149E-4</v>
      </c>
      <c r="D5" s="58">
        <f t="shared" ref="D5:D15" si="0">C5-B5</f>
        <v>2.3148148148148149E-4</v>
      </c>
      <c r="E5" s="59">
        <f t="shared" ref="E5:E15" si="1">IF($B$3=0,0,(C5-B5)/$B$3)</f>
        <v>2.2222222222222223E-2</v>
      </c>
      <c r="F5" s="60" t="s">
        <v>131</v>
      </c>
      <c r="G5" s="61" t="s">
        <v>352</v>
      </c>
      <c r="H5" s="61" t="s">
        <v>353</v>
      </c>
      <c r="I5" s="62" t="s">
        <v>354</v>
      </c>
      <c r="J5" s="61" t="s">
        <v>355</v>
      </c>
      <c r="K5" s="61" t="s">
        <v>356</v>
      </c>
      <c r="L5" s="61" t="s">
        <v>357</v>
      </c>
      <c r="M5" s="61" t="s">
        <v>358</v>
      </c>
      <c r="N5" s="61" t="s">
        <v>237</v>
      </c>
      <c r="O5" s="56">
        <v>4</v>
      </c>
    </row>
    <row r="6" spans="1:15" ht="57.95" customHeight="1" x14ac:dyDescent="0.25">
      <c r="A6" s="56">
        <v>2</v>
      </c>
      <c r="B6" s="57">
        <v>2.3148148148148149E-4</v>
      </c>
      <c r="C6" s="57">
        <v>5.7870370370370367E-4</v>
      </c>
      <c r="D6" s="58">
        <f t="shared" si="0"/>
        <v>3.4722222222222218E-4</v>
      </c>
      <c r="E6" s="59">
        <f t="shared" si="1"/>
        <v>3.3333333333333333E-2</v>
      </c>
      <c r="F6" s="63" t="s">
        <v>140</v>
      </c>
      <c r="G6" s="61" t="s">
        <v>359</v>
      </c>
      <c r="H6" s="61" t="s">
        <v>360</v>
      </c>
      <c r="I6" s="62" t="s">
        <v>361</v>
      </c>
      <c r="J6" s="61" t="s">
        <v>362</v>
      </c>
      <c r="K6" s="61" t="s">
        <v>363</v>
      </c>
      <c r="L6" s="61" t="s">
        <v>243</v>
      </c>
      <c r="M6" s="61" t="s">
        <v>364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5.7870370370370367E-4</v>
      </c>
      <c r="C7" s="57">
        <v>1.736111111111111E-3</v>
      </c>
      <c r="D7" s="58">
        <f t="shared" si="0"/>
        <v>1.1574074074074073E-3</v>
      </c>
      <c r="E7" s="59">
        <f t="shared" si="1"/>
        <v>0.1111111111111111</v>
      </c>
      <c r="F7" s="64" t="s">
        <v>149</v>
      </c>
      <c r="G7" s="61" t="s">
        <v>365</v>
      </c>
      <c r="H7" s="61" t="s">
        <v>366</v>
      </c>
      <c r="I7" s="62" t="s">
        <v>367</v>
      </c>
      <c r="J7" s="61" t="s">
        <v>368</v>
      </c>
      <c r="K7" s="61" t="s">
        <v>369</v>
      </c>
      <c r="L7" s="61" t="s">
        <v>370</v>
      </c>
      <c r="M7" s="61" t="s">
        <v>371</v>
      </c>
      <c r="N7" s="61" t="s">
        <v>372</v>
      </c>
      <c r="O7" s="56">
        <v>3</v>
      </c>
    </row>
    <row r="8" spans="1:15" ht="57.95" customHeight="1" x14ac:dyDescent="0.25">
      <c r="A8" s="56">
        <v>4</v>
      </c>
      <c r="B8" s="57">
        <v>1.736111111111111E-3</v>
      </c>
      <c r="C8" s="57">
        <v>3.8194444444444443E-3</v>
      </c>
      <c r="D8" s="58">
        <f t="shared" si="0"/>
        <v>2.0833333333333333E-3</v>
      </c>
      <c r="E8" s="59">
        <f t="shared" si="1"/>
        <v>0.2</v>
      </c>
      <c r="F8" s="66" t="s">
        <v>163</v>
      </c>
      <c r="G8" s="61" t="s">
        <v>373</v>
      </c>
      <c r="H8" s="61" t="s">
        <v>374</v>
      </c>
      <c r="I8" s="62" t="s">
        <v>375</v>
      </c>
      <c r="J8" s="61" t="s">
        <v>376</v>
      </c>
      <c r="K8" s="61" t="s">
        <v>377</v>
      </c>
      <c r="L8" s="61" t="s">
        <v>250</v>
      </c>
      <c r="M8" s="61" t="s">
        <v>378</v>
      </c>
      <c r="N8" s="61" t="s">
        <v>332</v>
      </c>
      <c r="O8" s="56">
        <v>4</v>
      </c>
    </row>
    <row r="9" spans="1:15" ht="57.95" customHeight="1" x14ac:dyDescent="0.25">
      <c r="A9" s="56">
        <v>5</v>
      </c>
      <c r="B9" s="57">
        <v>3.8194444444444443E-3</v>
      </c>
      <c r="C9" s="57">
        <v>3.9930555555555552E-3</v>
      </c>
      <c r="D9" s="58">
        <f t="shared" si="0"/>
        <v>1.7361111111111093E-4</v>
      </c>
      <c r="E9" s="59">
        <f t="shared" si="1"/>
        <v>1.6666666666666649E-2</v>
      </c>
      <c r="F9" s="65" t="s">
        <v>158</v>
      </c>
      <c r="G9" s="61" t="s">
        <v>379</v>
      </c>
      <c r="H9" s="61" t="s">
        <v>160</v>
      </c>
      <c r="I9" s="62" t="s">
        <v>380</v>
      </c>
      <c r="J9" s="61" t="s">
        <v>260</v>
      </c>
      <c r="K9" s="61" t="s">
        <v>161</v>
      </c>
      <c r="L9" s="61" t="s">
        <v>315</v>
      </c>
      <c r="M9" s="61" t="s">
        <v>148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3.9930555555555552E-3</v>
      </c>
      <c r="C10" s="57">
        <v>6.076388888888889E-3</v>
      </c>
      <c r="D10" s="58">
        <f t="shared" si="0"/>
        <v>2.0833333333333337E-3</v>
      </c>
      <c r="E10" s="59">
        <f t="shared" si="1"/>
        <v>0.20000000000000004</v>
      </c>
      <c r="F10" s="66" t="s">
        <v>163</v>
      </c>
      <c r="G10" s="61" t="s">
        <v>381</v>
      </c>
      <c r="H10" s="61" t="s">
        <v>382</v>
      </c>
      <c r="I10" s="62" t="s">
        <v>383</v>
      </c>
      <c r="J10" s="61" t="s">
        <v>384</v>
      </c>
      <c r="K10" s="61" t="s">
        <v>385</v>
      </c>
      <c r="L10" s="61" t="s">
        <v>386</v>
      </c>
      <c r="M10" s="61" t="s">
        <v>387</v>
      </c>
      <c r="N10" s="61" t="s">
        <v>388</v>
      </c>
      <c r="O10" s="56">
        <v>4</v>
      </c>
    </row>
    <row r="11" spans="1:15" ht="57.95" customHeight="1" x14ac:dyDescent="0.25">
      <c r="A11" s="56">
        <v>7</v>
      </c>
      <c r="B11" s="57">
        <v>6.076388888888889E-3</v>
      </c>
      <c r="C11" s="57">
        <v>7.9861111111111105E-3</v>
      </c>
      <c r="D11" s="58">
        <f t="shared" si="0"/>
        <v>1.9097222222222215E-3</v>
      </c>
      <c r="E11" s="59">
        <f t="shared" si="1"/>
        <v>0.18333333333333326</v>
      </c>
      <c r="F11" s="66" t="s">
        <v>163</v>
      </c>
      <c r="G11" s="61" t="s">
        <v>389</v>
      </c>
      <c r="H11" s="61" t="s">
        <v>390</v>
      </c>
      <c r="I11" s="62" t="s">
        <v>391</v>
      </c>
      <c r="J11" s="61" t="s">
        <v>392</v>
      </c>
      <c r="K11" s="61" t="s">
        <v>393</v>
      </c>
      <c r="L11" s="61" t="s">
        <v>205</v>
      </c>
      <c r="M11" s="61" t="s">
        <v>268</v>
      </c>
      <c r="N11" s="61" t="s">
        <v>394</v>
      </c>
      <c r="O11" s="56">
        <v>4</v>
      </c>
    </row>
    <row r="12" spans="1:15" ht="57.95" customHeight="1" x14ac:dyDescent="0.25">
      <c r="A12" s="56">
        <v>8</v>
      </c>
      <c r="B12" s="57">
        <v>7.9861111111111105E-3</v>
      </c>
      <c r="C12" s="57">
        <v>9.0277777777777769E-3</v>
      </c>
      <c r="D12" s="58">
        <f t="shared" si="0"/>
        <v>1.0416666666666664E-3</v>
      </c>
      <c r="E12" s="59">
        <f t="shared" si="1"/>
        <v>9.9999999999999978E-2</v>
      </c>
      <c r="F12" s="67" t="s">
        <v>199</v>
      </c>
      <c r="G12" s="61" t="s">
        <v>395</v>
      </c>
      <c r="H12" s="61" t="s">
        <v>396</v>
      </c>
      <c r="I12" s="62" t="s">
        <v>397</v>
      </c>
      <c r="J12" s="61" t="s">
        <v>398</v>
      </c>
      <c r="K12" s="61" t="s">
        <v>399</v>
      </c>
      <c r="L12" s="61" t="s">
        <v>400</v>
      </c>
      <c r="M12" s="61" t="s">
        <v>401</v>
      </c>
      <c r="N12" s="61" t="s">
        <v>148</v>
      </c>
      <c r="O12" s="56">
        <v>3</v>
      </c>
    </row>
    <row r="13" spans="1:15" ht="57.95" customHeight="1" x14ac:dyDescent="0.25">
      <c r="A13" s="56">
        <v>9</v>
      </c>
      <c r="B13" s="57">
        <v>9.0277777777777769E-3</v>
      </c>
      <c r="C13" s="57">
        <v>9.8958333333333329E-3</v>
      </c>
      <c r="D13" s="58">
        <f t="shared" si="0"/>
        <v>8.6805555555555594E-4</v>
      </c>
      <c r="E13" s="59">
        <f t="shared" si="1"/>
        <v>8.333333333333337E-2</v>
      </c>
      <c r="F13" s="68" t="s">
        <v>207</v>
      </c>
      <c r="G13" s="61" t="s">
        <v>402</v>
      </c>
      <c r="H13" s="61" t="s">
        <v>403</v>
      </c>
      <c r="I13" s="62" t="s">
        <v>404</v>
      </c>
      <c r="J13" s="61" t="s">
        <v>405</v>
      </c>
      <c r="K13" s="61" t="s">
        <v>406</v>
      </c>
      <c r="L13" s="61" t="s">
        <v>407</v>
      </c>
      <c r="M13" s="61" t="s">
        <v>408</v>
      </c>
      <c r="N13" s="61" t="s">
        <v>409</v>
      </c>
      <c r="O13" s="56">
        <v>2</v>
      </c>
    </row>
    <row r="14" spans="1:15" ht="57.95" customHeight="1" x14ac:dyDescent="0.25">
      <c r="A14" s="56">
        <v>10</v>
      </c>
      <c r="B14" s="57">
        <v>9.8958333333333329E-3</v>
      </c>
      <c r="C14" s="57">
        <v>1.0185185185185186E-2</v>
      </c>
      <c r="D14" s="58">
        <f t="shared" si="0"/>
        <v>2.8935185185185314E-4</v>
      </c>
      <c r="E14" s="59">
        <f t="shared" si="1"/>
        <v>2.7777777777777901E-2</v>
      </c>
      <c r="F14" s="69" t="s">
        <v>215</v>
      </c>
      <c r="G14" s="61" t="s">
        <v>410</v>
      </c>
      <c r="H14" s="61" t="s">
        <v>275</v>
      </c>
      <c r="I14" s="62" t="s">
        <v>411</v>
      </c>
      <c r="J14" s="61" t="s">
        <v>277</v>
      </c>
      <c r="K14" s="61" t="s">
        <v>278</v>
      </c>
      <c r="L14" s="61" t="s">
        <v>148</v>
      </c>
      <c r="M14" s="61" t="s">
        <v>148</v>
      </c>
      <c r="N14" s="61" t="s">
        <v>148</v>
      </c>
      <c r="O14" s="56">
        <v>1</v>
      </c>
    </row>
    <row r="15" spans="1:15" ht="57.95" customHeight="1" x14ac:dyDescent="0.25">
      <c r="A15" s="56">
        <v>11</v>
      </c>
      <c r="B15" s="57">
        <v>1.0185185185185186E-2</v>
      </c>
      <c r="C15" s="57">
        <v>1.0416666666666666E-2</v>
      </c>
      <c r="D15" s="58">
        <f t="shared" si="0"/>
        <v>2.3148148148148008E-4</v>
      </c>
      <c r="E15" s="59">
        <f t="shared" si="1"/>
        <v>2.2222222222222088E-2</v>
      </c>
      <c r="F15" s="70" t="s">
        <v>222</v>
      </c>
      <c r="G15" s="61" t="s">
        <v>223</v>
      </c>
      <c r="H15" s="61" t="s">
        <v>224</v>
      </c>
      <c r="I15" s="62" t="s">
        <v>412</v>
      </c>
      <c r="J15" s="61" t="s">
        <v>226</v>
      </c>
      <c r="K15" s="61" t="s">
        <v>226</v>
      </c>
      <c r="L15" s="61" t="s">
        <v>227</v>
      </c>
      <c r="M15" s="61" t="s">
        <v>148</v>
      </c>
      <c r="N15" s="61" t="s">
        <v>148</v>
      </c>
      <c r="O15" s="56">
        <v>1</v>
      </c>
    </row>
    <row r="17" spans="1:15" x14ac:dyDescent="0.25">
      <c r="A17" s="71" t="s">
        <v>228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</sheetData>
  <mergeCells count="3">
    <mergeCell ref="A1:O1"/>
    <mergeCell ref="A2:O2"/>
    <mergeCell ref="A17:O1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413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MAX(C5:C15)</f>
        <v>1.7361111111111112E-2</v>
      </c>
      <c r="D3" s="34" t="s">
        <v>115</v>
      </c>
      <c r="E3" s="34">
        <f>SUM(O5:O15)</f>
        <v>29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3.4722222222222224E-4</v>
      </c>
      <c r="D5" s="58">
        <f t="shared" ref="D5:D15" si="0">C5-B5</f>
        <v>3.4722222222222224E-4</v>
      </c>
      <c r="E5" s="59">
        <f t="shared" ref="E5:E15" si="1">IF($B$3=0,0,(C5-B5)/$B$3)</f>
        <v>0.02</v>
      </c>
      <c r="F5" s="60" t="s">
        <v>131</v>
      </c>
      <c r="G5" s="61" t="s">
        <v>414</v>
      </c>
      <c r="H5" s="61" t="s">
        <v>415</v>
      </c>
      <c r="I5" s="62" t="s">
        <v>416</v>
      </c>
      <c r="J5" s="61" t="s">
        <v>417</v>
      </c>
      <c r="K5" s="61" t="s">
        <v>418</v>
      </c>
      <c r="L5" s="61" t="s">
        <v>419</v>
      </c>
      <c r="M5" s="61" t="s">
        <v>420</v>
      </c>
      <c r="N5" s="61" t="s">
        <v>421</v>
      </c>
      <c r="O5" s="56">
        <v>3</v>
      </c>
    </row>
    <row r="6" spans="1:15" ht="57.95" customHeight="1" x14ac:dyDescent="0.25">
      <c r="A6" s="56">
        <v>2</v>
      </c>
      <c r="B6" s="57">
        <v>3.4722222222222224E-4</v>
      </c>
      <c r="C6" s="57">
        <v>1.0416666666666667E-3</v>
      </c>
      <c r="D6" s="58">
        <f t="shared" si="0"/>
        <v>6.9444444444444436E-4</v>
      </c>
      <c r="E6" s="59">
        <f t="shared" si="1"/>
        <v>3.9999999999999994E-2</v>
      </c>
      <c r="F6" s="63" t="s">
        <v>140</v>
      </c>
      <c r="G6" s="61" t="s">
        <v>422</v>
      </c>
      <c r="H6" s="61" t="s">
        <v>423</v>
      </c>
      <c r="I6" s="62" t="s">
        <v>424</v>
      </c>
      <c r="J6" s="61" t="s">
        <v>425</v>
      </c>
      <c r="K6" s="61" t="s">
        <v>426</v>
      </c>
      <c r="L6" s="61" t="s">
        <v>146</v>
      </c>
      <c r="M6" s="61" t="s">
        <v>427</v>
      </c>
      <c r="N6" s="61" t="s">
        <v>148</v>
      </c>
      <c r="O6" s="56">
        <v>2</v>
      </c>
    </row>
    <row r="7" spans="1:15" ht="57.95" customHeight="1" x14ac:dyDescent="0.25">
      <c r="A7" s="56">
        <v>3</v>
      </c>
      <c r="B7" s="57">
        <v>1.0416666666666667E-3</v>
      </c>
      <c r="C7" s="57">
        <v>3.1250000000000002E-3</v>
      </c>
      <c r="D7" s="58">
        <f t="shared" si="0"/>
        <v>2.0833333333333337E-3</v>
      </c>
      <c r="E7" s="59">
        <f t="shared" si="1"/>
        <v>0.12000000000000002</v>
      </c>
      <c r="F7" s="64" t="s">
        <v>149</v>
      </c>
      <c r="G7" s="61" t="s">
        <v>428</v>
      </c>
      <c r="H7" s="61" t="s">
        <v>429</v>
      </c>
      <c r="I7" s="62" t="s">
        <v>430</v>
      </c>
      <c r="J7" s="61" t="s">
        <v>431</v>
      </c>
      <c r="K7" s="61" t="s">
        <v>432</v>
      </c>
      <c r="L7" s="61" t="s">
        <v>433</v>
      </c>
      <c r="M7" s="61" t="s">
        <v>434</v>
      </c>
      <c r="N7" s="61" t="s">
        <v>435</v>
      </c>
      <c r="O7" s="56">
        <v>3</v>
      </c>
    </row>
    <row r="8" spans="1:15" ht="57.95" customHeight="1" x14ac:dyDescent="0.25">
      <c r="A8" s="56">
        <v>4</v>
      </c>
      <c r="B8" s="57">
        <v>3.1250000000000002E-3</v>
      </c>
      <c r="C8" s="57">
        <v>3.472222222222222E-3</v>
      </c>
      <c r="D8" s="58">
        <f t="shared" si="0"/>
        <v>3.4722222222222186E-4</v>
      </c>
      <c r="E8" s="59">
        <f t="shared" si="1"/>
        <v>1.999999999999998E-2</v>
      </c>
      <c r="F8" s="65" t="s">
        <v>158</v>
      </c>
      <c r="G8" s="61" t="s">
        <v>436</v>
      </c>
      <c r="H8" s="61" t="s">
        <v>160</v>
      </c>
      <c r="I8" s="62" t="s">
        <v>148</v>
      </c>
      <c r="J8" s="61" t="s">
        <v>437</v>
      </c>
      <c r="K8" s="61" t="s">
        <v>161</v>
      </c>
      <c r="L8" s="61" t="s">
        <v>162</v>
      </c>
      <c r="M8" s="61" t="s">
        <v>438</v>
      </c>
      <c r="N8" s="61" t="s">
        <v>148</v>
      </c>
      <c r="O8" s="56">
        <v>1</v>
      </c>
    </row>
    <row r="9" spans="1:15" ht="57.95" customHeight="1" x14ac:dyDescent="0.25">
      <c r="A9" s="56">
        <v>5</v>
      </c>
      <c r="B9" s="57">
        <v>3.472222222222222E-3</v>
      </c>
      <c r="C9" s="57">
        <v>6.2500000000000003E-3</v>
      </c>
      <c r="D9" s="58">
        <f t="shared" si="0"/>
        <v>2.7777777777777783E-3</v>
      </c>
      <c r="E9" s="59">
        <f t="shared" si="1"/>
        <v>0.16000000000000003</v>
      </c>
      <c r="F9" s="66" t="s">
        <v>163</v>
      </c>
      <c r="G9" s="61" t="s">
        <v>439</v>
      </c>
      <c r="H9" s="61" t="s">
        <v>440</v>
      </c>
      <c r="I9" s="62" t="s">
        <v>441</v>
      </c>
      <c r="J9" s="61" t="s">
        <v>442</v>
      </c>
      <c r="K9" s="61" t="s">
        <v>443</v>
      </c>
      <c r="L9" s="61" t="s">
        <v>250</v>
      </c>
      <c r="M9" s="61" t="s">
        <v>444</v>
      </c>
      <c r="N9" s="61" t="s">
        <v>445</v>
      </c>
      <c r="O9" s="56">
        <v>4</v>
      </c>
    </row>
    <row r="10" spans="1:15" ht="57.95" customHeight="1" x14ac:dyDescent="0.25">
      <c r="A10" s="56">
        <v>6</v>
      </c>
      <c r="B10" s="57">
        <v>6.2500000000000003E-3</v>
      </c>
      <c r="C10" s="57">
        <v>1.0416666666666666E-2</v>
      </c>
      <c r="D10" s="58">
        <f t="shared" si="0"/>
        <v>4.1666666666666657E-3</v>
      </c>
      <c r="E10" s="59">
        <f t="shared" si="1"/>
        <v>0.23999999999999994</v>
      </c>
      <c r="F10" s="66" t="s">
        <v>163</v>
      </c>
      <c r="G10" s="61" t="s">
        <v>446</v>
      </c>
      <c r="H10" s="61" t="s">
        <v>447</v>
      </c>
      <c r="I10" s="62" t="s">
        <v>448</v>
      </c>
      <c r="J10" s="61" t="s">
        <v>449</v>
      </c>
      <c r="K10" s="61" t="s">
        <v>450</v>
      </c>
      <c r="L10" s="61" t="s">
        <v>451</v>
      </c>
      <c r="M10" s="61" t="s">
        <v>452</v>
      </c>
      <c r="N10" s="61" t="s">
        <v>453</v>
      </c>
      <c r="O10" s="56">
        <v>5</v>
      </c>
    </row>
    <row r="11" spans="1:15" ht="57.95" customHeight="1" x14ac:dyDescent="0.25">
      <c r="A11" s="56">
        <v>7</v>
      </c>
      <c r="B11" s="57">
        <v>1.0416666666666666E-2</v>
      </c>
      <c r="C11" s="57">
        <v>1.0763888888888889E-2</v>
      </c>
      <c r="D11" s="58">
        <f t="shared" si="0"/>
        <v>3.4722222222222272E-4</v>
      </c>
      <c r="E11" s="59">
        <f t="shared" si="1"/>
        <v>2.0000000000000028E-2</v>
      </c>
      <c r="F11" s="65" t="s">
        <v>158</v>
      </c>
      <c r="G11" s="61" t="s">
        <v>454</v>
      </c>
      <c r="H11" s="61" t="s">
        <v>455</v>
      </c>
      <c r="I11" s="62" t="s">
        <v>456</v>
      </c>
      <c r="J11" s="61" t="s">
        <v>457</v>
      </c>
      <c r="K11" s="61" t="s">
        <v>458</v>
      </c>
      <c r="L11" s="61" t="s">
        <v>148</v>
      </c>
      <c r="M11" s="61" t="s">
        <v>459</v>
      </c>
      <c r="N11" s="61" t="s">
        <v>460</v>
      </c>
      <c r="O11" s="56">
        <v>2</v>
      </c>
    </row>
    <row r="12" spans="1:15" ht="57.95" customHeight="1" x14ac:dyDescent="0.25">
      <c r="A12" s="56">
        <v>8</v>
      </c>
      <c r="B12" s="57">
        <v>1.0763888888888889E-2</v>
      </c>
      <c r="C12" s="57">
        <v>1.3541666666666667E-2</v>
      </c>
      <c r="D12" s="58">
        <f t="shared" si="0"/>
        <v>2.7777777777777783E-3</v>
      </c>
      <c r="E12" s="59">
        <f t="shared" si="1"/>
        <v>0.16000000000000003</v>
      </c>
      <c r="F12" s="66" t="s">
        <v>163</v>
      </c>
      <c r="G12" s="61" t="s">
        <v>461</v>
      </c>
      <c r="H12" s="61" t="s">
        <v>462</v>
      </c>
      <c r="I12" s="62" t="s">
        <v>463</v>
      </c>
      <c r="J12" s="61" t="s">
        <v>464</v>
      </c>
      <c r="K12" s="61" t="s">
        <v>465</v>
      </c>
      <c r="L12" s="61" t="s">
        <v>466</v>
      </c>
      <c r="M12" s="61" t="s">
        <v>467</v>
      </c>
      <c r="N12" s="61" t="s">
        <v>183</v>
      </c>
      <c r="O12" s="56">
        <v>3</v>
      </c>
    </row>
    <row r="13" spans="1:15" ht="57.95" customHeight="1" x14ac:dyDescent="0.25">
      <c r="A13" s="56">
        <v>9</v>
      </c>
      <c r="B13" s="57">
        <v>1.3541666666666667E-2</v>
      </c>
      <c r="C13" s="57">
        <v>1.5625E-2</v>
      </c>
      <c r="D13" s="58">
        <f t="shared" si="0"/>
        <v>2.0833333333333329E-3</v>
      </c>
      <c r="E13" s="59">
        <f t="shared" si="1"/>
        <v>0.11999999999999997</v>
      </c>
      <c r="F13" s="67" t="s">
        <v>199</v>
      </c>
      <c r="G13" s="61" t="s">
        <v>468</v>
      </c>
      <c r="H13" s="61" t="s">
        <v>469</v>
      </c>
      <c r="I13" s="62" t="s">
        <v>470</v>
      </c>
      <c r="J13" s="61" t="s">
        <v>471</v>
      </c>
      <c r="K13" s="61" t="s">
        <v>472</v>
      </c>
      <c r="L13" s="61" t="s">
        <v>181</v>
      </c>
      <c r="M13" s="61" t="s">
        <v>473</v>
      </c>
      <c r="N13" s="61" t="s">
        <v>302</v>
      </c>
      <c r="O13" s="56">
        <v>3</v>
      </c>
    </row>
    <row r="14" spans="1:15" ht="57.95" customHeight="1" x14ac:dyDescent="0.25">
      <c r="A14" s="56">
        <v>10</v>
      </c>
      <c r="B14" s="57">
        <v>1.5625E-2</v>
      </c>
      <c r="C14" s="57">
        <v>1.6898148148148148E-2</v>
      </c>
      <c r="D14" s="58">
        <f t="shared" si="0"/>
        <v>1.2731481481481483E-3</v>
      </c>
      <c r="E14" s="59">
        <f t="shared" si="1"/>
        <v>7.3333333333333334E-2</v>
      </c>
      <c r="F14" s="68" t="s">
        <v>207</v>
      </c>
      <c r="G14" s="61" t="s">
        <v>474</v>
      </c>
      <c r="H14" s="61" t="s">
        <v>209</v>
      </c>
      <c r="I14" s="62" t="s">
        <v>475</v>
      </c>
      <c r="J14" s="61" t="s">
        <v>476</v>
      </c>
      <c r="K14" s="61" t="s">
        <v>477</v>
      </c>
      <c r="L14" s="61" t="s">
        <v>189</v>
      </c>
      <c r="M14" s="61" t="s">
        <v>478</v>
      </c>
      <c r="N14" s="61" t="s">
        <v>479</v>
      </c>
      <c r="O14" s="56">
        <v>2</v>
      </c>
    </row>
    <row r="15" spans="1:15" ht="57.95" customHeight="1" x14ac:dyDescent="0.25">
      <c r="A15" s="56">
        <v>11</v>
      </c>
      <c r="B15" s="57">
        <v>1.6898148148148148E-2</v>
      </c>
      <c r="C15" s="57">
        <v>1.7361111111111112E-2</v>
      </c>
      <c r="D15" s="58">
        <f t="shared" si="0"/>
        <v>4.6296296296296363E-4</v>
      </c>
      <c r="E15" s="59">
        <f t="shared" si="1"/>
        <v>2.6666666666666703E-2</v>
      </c>
      <c r="F15" s="70" t="s">
        <v>222</v>
      </c>
      <c r="G15" s="61" t="s">
        <v>223</v>
      </c>
      <c r="H15" s="61" t="s">
        <v>224</v>
      </c>
      <c r="I15" s="62" t="s">
        <v>480</v>
      </c>
      <c r="J15" s="61" t="s">
        <v>226</v>
      </c>
      <c r="K15" s="61" t="s">
        <v>226</v>
      </c>
      <c r="L15" s="61" t="s">
        <v>227</v>
      </c>
      <c r="M15" s="61" t="s">
        <v>148</v>
      </c>
      <c r="N15" s="61" t="s">
        <v>148</v>
      </c>
      <c r="O15" s="56">
        <v>1</v>
      </c>
    </row>
    <row r="17" spans="1:15" x14ac:dyDescent="0.25">
      <c r="A17" s="71" t="s">
        <v>228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</sheetData>
  <mergeCells count="3">
    <mergeCell ref="A1:O1"/>
    <mergeCell ref="A2:O2"/>
    <mergeCell ref="A17:O17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481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MAX(C5:C14)</f>
        <v>8.3333333333333332E-3</v>
      </c>
      <c r="D3" s="34" t="s">
        <v>115</v>
      </c>
      <c r="E3" s="34">
        <f>SUM(O5:O14)</f>
        <v>22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2.3148148148148149E-4</v>
      </c>
      <c r="D5" s="58">
        <f t="shared" ref="D5:D14" si="0">C5-B5</f>
        <v>2.3148148148148149E-4</v>
      </c>
      <c r="E5" s="59">
        <f t="shared" ref="E5:E14" si="1">IF($B$3=0,0,(C5-B5)/$B$3)</f>
        <v>2.777777777777778E-2</v>
      </c>
      <c r="F5" s="60" t="s">
        <v>131</v>
      </c>
      <c r="G5" s="61" t="s">
        <v>482</v>
      </c>
      <c r="H5" s="61" t="s">
        <v>483</v>
      </c>
      <c r="I5" s="62" t="s">
        <v>484</v>
      </c>
      <c r="J5" s="61" t="s">
        <v>485</v>
      </c>
      <c r="K5" s="61" t="s">
        <v>486</v>
      </c>
      <c r="L5" s="61" t="s">
        <v>487</v>
      </c>
      <c r="M5" s="61" t="s">
        <v>488</v>
      </c>
      <c r="N5" s="61" t="s">
        <v>489</v>
      </c>
      <c r="O5" s="56">
        <v>3</v>
      </c>
    </row>
    <row r="6" spans="1:15" ht="57.95" customHeight="1" x14ac:dyDescent="0.25">
      <c r="A6" s="56">
        <v>2</v>
      </c>
      <c r="B6" s="57">
        <v>2.3148148148148149E-4</v>
      </c>
      <c r="C6" s="57">
        <v>4.6296296296296298E-4</v>
      </c>
      <c r="D6" s="58">
        <f t="shared" si="0"/>
        <v>2.3148148148148149E-4</v>
      </c>
      <c r="E6" s="59">
        <f t="shared" si="1"/>
        <v>2.777777777777778E-2</v>
      </c>
      <c r="F6" s="63" t="s">
        <v>140</v>
      </c>
      <c r="G6" s="61" t="s">
        <v>490</v>
      </c>
      <c r="H6" s="61" t="s">
        <v>491</v>
      </c>
      <c r="I6" s="62" t="s">
        <v>492</v>
      </c>
      <c r="J6" s="61" t="s">
        <v>493</v>
      </c>
      <c r="K6" s="61" t="s">
        <v>494</v>
      </c>
      <c r="L6" s="61" t="s">
        <v>495</v>
      </c>
      <c r="M6" s="61" t="s">
        <v>496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4.6296296296296298E-4</v>
      </c>
      <c r="C7" s="57">
        <v>1.736111111111111E-3</v>
      </c>
      <c r="D7" s="58">
        <f t="shared" si="0"/>
        <v>1.273148148148148E-3</v>
      </c>
      <c r="E7" s="59">
        <f t="shared" si="1"/>
        <v>0.15277777777777776</v>
      </c>
      <c r="F7" s="64" t="s">
        <v>149</v>
      </c>
      <c r="G7" s="61" t="s">
        <v>497</v>
      </c>
      <c r="H7" s="61" t="s">
        <v>498</v>
      </c>
      <c r="I7" s="62" t="s">
        <v>499</v>
      </c>
      <c r="J7" s="61" t="s">
        <v>500</v>
      </c>
      <c r="K7" s="61" t="s">
        <v>501</v>
      </c>
      <c r="L7" s="61" t="s">
        <v>502</v>
      </c>
      <c r="M7" s="61" t="s">
        <v>503</v>
      </c>
      <c r="N7" s="61" t="s">
        <v>157</v>
      </c>
      <c r="O7" s="56">
        <v>3</v>
      </c>
    </row>
    <row r="8" spans="1:15" ht="57.95" customHeight="1" x14ac:dyDescent="0.25">
      <c r="A8" s="56">
        <v>4</v>
      </c>
      <c r="B8" s="57">
        <v>1.736111111111111E-3</v>
      </c>
      <c r="C8" s="57">
        <v>3.472222222222222E-3</v>
      </c>
      <c r="D8" s="58">
        <f t="shared" si="0"/>
        <v>1.736111111111111E-3</v>
      </c>
      <c r="E8" s="59">
        <f t="shared" si="1"/>
        <v>0.20833333333333331</v>
      </c>
      <c r="F8" s="66" t="s">
        <v>163</v>
      </c>
      <c r="G8" s="61" t="s">
        <v>504</v>
      </c>
      <c r="H8" s="61" t="s">
        <v>165</v>
      </c>
      <c r="I8" s="62" t="s">
        <v>505</v>
      </c>
      <c r="J8" s="61" t="s">
        <v>506</v>
      </c>
      <c r="K8" s="61" t="s">
        <v>507</v>
      </c>
      <c r="L8" s="61" t="s">
        <v>508</v>
      </c>
      <c r="M8" s="61" t="s">
        <v>509</v>
      </c>
      <c r="N8" s="61" t="s">
        <v>183</v>
      </c>
      <c r="O8" s="56">
        <v>3</v>
      </c>
    </row>
    <row r="9" spans="1:15" ht="57.95" customHeight="1" x14ac:dyDescent="0.25">
      <c r="A9" s="56">
        <v>5</v>
      </c>
      <c r="B9" s="57">
        <v>3.472222222222222E-3</v>
      </c>
      <c r="C9" s="57">
        <v>3.6458333333333334E-3</v>
      </c>
      <c r="D9" s="58">
        <f t="shared" si="0"/>
        <v>1.7361111111111136E-4</v>
      </c>
      <c r="E9" s="59">
        <f t="shared" si="1"/>
        <v>2.0833333333333363E-2</v>
      </c>
      <c r="F9" s="65" t="s">
        <v>158</v>
      </c>
      <c r="G9" s="61" t="s">
        <v>510</v>
      </c>
      <c r="H9" s="61" t="s">
        <v>173</v>
      </c>
      <c r="I9" s="62" t="s">
        <v>511</v>
      </c>
      <c r="J9" s="61" t="s">
        <v>512</v>
      </c>
      <c r="K9" s="61" t="s">
        <v>174</v>
      </c>
      <c r="L9" s="61" t="s">
        <v>175</v>
      </c>
      <c r="M9" s="61" t="s">
        <v>173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3.6458333333333334E-3</v>
      </c>
      <c r="C10" s="57">
        <v>5.5555555555555558E-3</v>
      </c>
      <c r="D10" s="58">
        <f t="shared" si="0"/>
        <v>1.9097222222222224E-3</v>
      </c>
      <c r="E10" s="59">
        <f t="shared" si="1"/>
        <v>0.22916666666666669</v>
      </c>
      <c r="F10" s="66" t="s">
        <v>163</v>
      </c>
      <c r="G10" s="61" t="s">
        <v>513</v>
      </c>
      <c r="H10" s="61" t="s">
        <v>514</v>
      </c>
      <c r="I10" s="62" t="s">
        <v>515</v>
      </c>
      <c r="J10" s="61" t="s">
        <v>516</v>
      </c>
      <c r="K10" s="61" t="s">
        <v>517</v>
      </c>
      <c r="L10" s="61" t="s">
        <v>197</v>
      </c>
      <c r="M10" s="61" t="s">
        <v>518</v>
      </c>
      <c r="N10" s="61" t="s">
        <v>519</v>
      </c>
      <c r="O10" s="56">
        <v>4</v>
      </c>
    </row>
    <row r="11" spans="1:15" ht="57.95" customHeight="1" x14ac:dyDescent="0.25">
      <c r="A11" s="56">
        <v>7</v>
      </c>
      <c r="B11" s="57">
        <v>5.5555555555555558E-3</v>
      </c>
      <c r="C11" s="57">
        <v>6.9444444444444441E-3</v>
      </c>
      <c r="D11" s="58">
        <f t="shared" si="0"/>
        <v>1.3888888888888883E-3</v>
      </c>
      <c r="E11" s="59">
        <f t="shared" si="1"/>
        <v>0.1666666666666666</v>
      </c>
      <c r="F11" s="67" t="s">
        <v>199</v>
      </c>
      <c r="G11" s="61" t="s">
        <v>520</v>
      </c>
      <c r="H11" s="61" t="s">
        <v>521</v>
      </c>
      <c r="I11" s="62" t="s">
        <v>522</v>
      </c>
      <c r="J11" s="61" t="s">
        <v>523</v>
      </c>
      <c r="K11" s="61" t="s">
        <v>204</v>
      </c>
      <c r="L11" s="61" t="s">
        <v>181</v>
      </c>
      <c r="M11" s="61" t="s">
        <v>524</v>
      </c>
      <c r="N11" s="61" t="s">
        <v>183</v>
      </c>
      <c r="O11" s="56">
        <v>3</v>
      </c>
    </row>
    <row r="12" spans="1:15" ht="57.95" customHeight="1" x14ac:dyDescent="0.25">
      <c r="A12" s="56">
        <v>8</v>
      </c>
      <c r="B12" s="57">
        <v>6.9444444444444441E-3</v>
      </c>
      <c r="C12" s="57">
        <v>7.8703703703703696E-3</v>
      </c>
      <c r="D12" s="58">
        <f t="shared" si="0"/>
        <v>9.2592592592592553E-4</v>
      </c>
      <c r="E12" s="59">
        <f t="shared" si="1"/>
        <v>0.11111111111111106</v>
      </c>
      <c r="F12" s="68" t="s">
        <v>207</v>
      </c>
      <c r="G12" s="61" t="s">
        <v>525</v>
      </c>
      <c r="H12" s="61" t="s">
        <v>209</v>
      </c>
      <c r="I12" s="62" t="s">
        <v>526</v>
      </c>
      <c r="J12" s="61" t="s">
        <v>527</v>
      </c>
      <c r="K12" s="61" t="s">
        <v>477</v>
      </c>
      <c r="L12" s="61" t="s">
        <v>189</v>
      </c>
      <c r="M12" s="61" t="s">
        <v>528</v>
      </c>
      <c r="N12" s="61" t="s">
        <v>460</v>
      </c>
      <c r="O12" s="56">
        <v>2</v>
      </c>
    </row>
    <row r="13" spans="1:15" ht="57.95" customHeight="1" x14ac:dyDescent="0.25">
      <c r="A13" s="56">
        <v>9</v>
      </c>
      <c r="B13" s="57">
        <v>7.8703703703703696E-3</v>
      </c>
      <c r="C13" s="57">
        <v>8.1018518518518514E-3</v>
      </c>
      <c r="D13" s="58">
        <f t="shared" si="0"/>
        <v>2.3148148148148182E-4</v>
      </c>
      <c r="E13" s="59">
        <f t="shared" si="1"/>
        <v>2.7777777777777818E-2</v>
      </c>
      <c r="F13" s="69" t="s">
        <v>215</v>
      </c>
      <c r="G13" s="61" t="s">
        <v>529</v>
      </c>
      <c r="H13" s="61" t="s">
        <v>530</v>
      </c>
      <c r="I13" s="62" t="s">
        <v>531</v>
      </c>
      <c r="J13" s="61" t="s">
        <v>219</v>
      </c>
      <c r="K13" s="61" t="s">
        <v>220</v>
      </c>
      <c r="L13" s="61" t="s">
        <v>148</v>
      </c>
      <c r="M13" s="61" t="s">
        <v>532</v>
      </c>
      <c r="N13" s="61" t="s">
        <v>148</v>
      </c>
      <c r="O13" s="56">
        <v>1</v>
      </c>
    </row>
    <row r="14" spans="1:15" ht="57.95" customHeight="1" x14ac:dyDescent="0.25">
      <c r="A14" s="56">
        <v>10</v>
      </c>
      <c r="B14" s="57">
        <v>8.1018518518518514E-3</v>
      </c>
      <c r="C14" s="57">
        <v>8.3333333333333332E-3</v>
      </c>
      <c r="D14" s="58">
        <f t="shared" si="0"/>
        <v>2.3148148148148182E-4</v>
      </c>
      <c r="E14" s="59">
        <f t="shared" si="1"/>
        <v>2.7777777777777818E-2</v>
      </c>
      <c r="F14" s="70" t="s">
        <v>222</v>
      </c>
      <c r="G14" s="61" t="s">
        <v>533</v>
      </c>
      <c r="H14" s="61" t="s">
        <v>534</v>
      </c>
      <c r="I14" s="62" t="s">
        <v>535</v>
      </c>
      <c r="J14" s="61" t="s">
        <v>536</v>
      </c>
      <c r="K14" s="61" t="s">
        <v>537</v>
      </c>
      <c r="L14" s="61" t="s">
        <v>538</v>
      </c>
      <c r="M14" s="61" t="s">
        <v>182</v>
      </c>
      <c r="N14" s="61" t="s">
        <v>148</v>
      </c>
      <c r="O14" s="56">
        <v>1</v>
      </c>
    </row>
    <row r="16" spans="1:15" x14ac:dyDescent="0.25">
      <c r="A16" s="71" t="s">
        <v>228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</row>
  </sheetData>
  <mergeCells count="3">
    <mergeCell ref="A1:O1"/>
    <mergeCell ref="A2:O2"/>
    <mergeCell ref="A16:O16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539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MAX(C5:C13)</f>
        <v>9.7222222222222224E-3</v>
      </c>
      <c r="D3" s="34" t="s">
        <v>115</v>
      </c>
      <c r="E3" s="34">
        <f>SUM(O5:O13)</f>
        <v>21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2.8935185185185184E-4</v>
      </c>
      <c r="D5" s="58">
        <f t="shared" ref="D5:D13" si="0">C5-B5</f>
        <v>2.8935185185185184E-4</v>
      </c>
      <c r="E5" s="59">
        <f t="shared" ref="E5:E13" si="1">IF($B$3=0,0,(C5-B5)/$B$3)</f>
        <v>2.976190476190476E-2</v>
      </c>
      <c r="F5" s="60" t="s">
        <v>131</v>
      </c>
      <c r="G5" s="61" t="s">
        <v>540</v>
      </c>
      <c r="H5" s="61" t="s">
        <v>541</v>
      </c>
      <c r="I5" s="62" t="s">
        <v>542</v>
      </c>
      <c r="J5" s="61" t="s">
        <v>543</v>
      </c>
      <c r="K5" s="61" t="s">
        <v>544</v>
      </c>
      <c r="L5" s="61" t="s">
        <v>545</v>
      </c>
      <c r="M5" s="61" t="s">
        <v>546</v>
      </c>
      <c r="N5" s="61" t="s">
        <v>547</v>
      </c>
      <c r="O5" s="56">
        <v>2</v>
      </c>
    </row>
    <row r="6" spans="1:15" ht="57.95" customHeight="1" x14ac:dyDescent="0.25">
      <c r="A6" s="56">
        <v>2</v>
      </c>
      <c r="B6" s="57">
        <v>2.8935185185185184E-4</v>
      </c>
      <c r="C6" s="57">
        <v>6.9444444444444447E-4</v>
      </c>
      <c r="D6" s="58">
        <f t="shared" si="0"/>
        <v>4.0509259259259264E-4</v>
      </c>
      <c r="E6" s="59">
        <f t="shared" si="1"/>
        <v>4.1666666666666671E-2</v>
      </c>
      <c r="F6" s="64" t="s">
        <v>149</v>
      </c>
      <c r="G6" s="61" t="s">
        <v>548</v>
      </c>
      <c r="H6" s="61" t="s">
        <v>149</v>
      </c>
      <c r="I6" s="62" t="s">
        <v>549</v>
      </c>
      <c r="J6" s="61" t="s">
        <v>550</v>
      </c>
      <c r="K6" s="61" t="s">
        <v>551</v>
      </c>
      <c r="L6" s="61" t="s">
        <v>433</v>
      </c>
      <c r="M6" s="61" t="s">
        <v>552</v>
      </c>
      <c r="N6" s="61" t="s">
        <v>183</v>
      </c>
      <c r="O6" s="56">
        <v>2</v>
      </c>
    </row>
    <row r="7" spans="1:15" ht="57.95" customHeight="1" x14ac:dyDescent="0.25">
      <c r="A7" s="56">
        <v>3</v>
      </c>
      <c r="B7" s="57">
        <v>6.9444444444444447E-4</v>
      </c>
      <c r="C7" s="57">
        <v>2.0833333333333333E-3</v>
      </c>
      <c r="D7" s="58">
        <f t="shared" si="0"/>
        <v>1.3888888888888887E-3</v>
      </c>
      <c r="E7" s="59">
        <f t="shared" si="1"/>
        <v>0.14285714285714285</v>
      </c>
      <c r="F7" s="68" t="s">
        <v>207</v>
      </c>
      <c r="G7" s="61" t="s">
        <v>553</v>
      </c>
      <c r="H7" s="61" t="s">
        <v>554</v>
      </c>
      <c r="I7" s="62" t="s">
        <v>555</v>
      </c>
      <c r="J7" s="61" t="s">
        <v>556</v>
      </c>
      <c r="K7" s="61" t="s">
        <v>557</v>
      </c>
      <c r="L7" s="61" t="s">
        <v>558</v>
      </c>
      <c r="M7" s="61" t="s">
        <v>559</v>
      </c>
      <c r="N7" s="61" t="s">
        <v>560</v>
      </c>
      <c r="O7" s="56">
        <v>3</v>
      </c>
    </row>
    <row r="8" spans="1:15" ht="57.95" customHeight="1" x14ac:dyDescent="0.25">
      <c r="A8" s="56">
        <v>4</v>
      </c>
      <c r="B8" s="57">
        <v>2.0833333333333333E-3</v>
      </c>
      <c r="C8" s="57">
        <v>4.8611111111111112E-3</v>
      </c>
      <c r="D8" s="58">
        <f t="shared" si="0"/>
        <v>2.7777777777777779E-3</v>
      </c>
      <c r="E8" s="59">
        <f t="shared" si="1"/>
        <v>0.2857142857142857</v>
      </c>
      <c r="F8" s="66" t="s">
        <v>163</v>
      </c>
      <c r="G8" s="61" t="s">
        <v>561</v>
      </c>
      <c r="H8" s="61" t="s">
        <v>562</v>
      </c>
      <c r="I8" s="62" t="s">
        <v>563</v>
      </c>
      <c r="J8" s="61" t="s">
        <v>564</v>
      </c>
      <c r="K8" s="61" t="s">
        <v>565</v>
      </c>
      <c r="L8" s="61" t="s">
        <v>566</v>
      </c>
      <c r="M8" s="61" t="s">
        <v>567</v>
      </c>
      <c r="N8" s="61" t="s">
        <v>568</v>
      </c>
      <c r="O8" s="56">
        <v>4</v>
      </c>
    </row>
    <row r="9" spans="1:15" ht="57.95" customHeight="1" x14ac:dyDescent="0.25">
      <c r="A9" s="56">
        <v>5</v>
      </c>
      <c r="B9" s="57">
        <v>4.8611111111111112E-3</v>
      </c>
      <c r="C9" s="57">
        <v>6.9444444444444441E-3</v>
      </c>
      <c r="D9" s="58">
        <f t="shared" si="0"/>
        <v>2.0833333333333329E-3</v>
      </c>
      <c r="E9" s="59">
        <f t="shared" si="1"/>
        <v>0.21428571428571425</v>
      </c>
      <c r="F9" s="67" t="s">
        <v>199</v>
      </c>
      <c r="G9" s="61" t="s">
        <v>569</v>
      </c>
      <c r="H9" s="61" t="s">
        <v>570</v>
      </c>
      <c r="I9" s="62" t="s">
        <v>571</v>
      </c>
      <c r="J9" s="61" t="s">
        <v>572</v>
      </c>
      <c r="K9" s="61" t="s">
        <v>573</v>
      </c>
      <c r="L9" s="61" t="s">
        <v>574</v>
      </c>
      <c r="M9" s="61" t="s">
        <v>575</v>
      </c>
      <c r="N9" s="61" t="s">
        <v>183</v>
      </c>
      <c r="O9" s="56">
        <v>5</v>
      </c>
    </row>
    <row r="10" spans="1:15" ht="57.95" customHeight="1" x14ac:dyDescent="0.25">
      <c r="A10" s="56">
        <v>6</v>
      </c>
      <c r="B10" s="57">
        <v>6.9444444444444441E-3</v>
      </c>
      <c r="C10" s="57">
        <v>7.1759259259259259E-3</v>
      </c>
      <c r="D10" s="58">
        <f t="shared" si="0"/>
        <v>2.3148148148148182E-4</v>
      </c>
      <c r="E10" s="59">
        <f t="shared" si="1"/>
        <v>2.3809523809523843E-2</v>
      </c>
      <c r="F10" s="65" t="s">
        <v>158</v>
      </c>
      <c r="G10" s="61" t="s">
        <v>576</v>
      </c>
      <c r="H10" s="61" t="s">
        <v>577</v>
      </c>
      <c r="I10" s="62" t="s">
        <v>148</v>
      </c>
      <c r="J10" s="61" t="s">
        <v>578</v>
      </c>
      <c r="K10" s="61" t="s">
        <v>343</v>
      </c>
      <c r="L10" s="61" t="s">
        <v>579</v>
      </c>
      <c r="M10" s="61" t="s">
        <v>580</v>
      </c>
      <c r="N10" s="61" t="s">
        <v>148</v>
      </c>
      <c r="O10" s="56">
        <v>1</v>
      </c>
    </row>
    <row r="11" spans="1:15" ht="57.95" customHeight="1" x14ac:dyDescent="0.25">
      <c r="A11" s="56">
        <v>7</v>
      </c>
      <c r="B11" s="57">
        <v>7.1759259259259259E-3</v>
      </c>
      <c r="C11" s="57">
        <v>8.7962962962962968E-3</v>
      </c>
      <c r="D11" s="58">
        <f t="shared" si="0"/>
        <v>1.620370370370371E-3</v>
      </c>
      <c r="E11" s="59">
        <f t="shared" si="1"/>
        <v>0.16666666666666671</v>
      </c>
      <c r="F11" s="68" t="s">
        <v>207</v>
      </c>
      <c r="G11" s="61" t="s">
        <v>581</v>
      </c>
      <c r="H11" s="61" t="s">
        <v>582</v>
      </c>
      <c r="I11" s="62" t="s">
        <v>583</v>
      </c>
      <c r="J11" s="61" t="s">
        <v>584</v>
      </c>
      <c r="K11" s="61" t="s">
        <v>585</v>
      </c>
      <c r="L11" s="61" t="s">
        <v>189</v>
      </c>
      <c r="M11" s="61" t="s">
        <v>586</v>
      </c>
      <c r="N11" s="61" t="s">
        <v>214</v>
      </c>
      <c r="O11" s="56">
        <v>2</v>
      </c>
    </row>
    <row r="12" spans="1:15" ht="57.95" customHeight="1" x14ac:dyDescent="0.25">
      <c r="A12" s="56">
        <v>8</v>
      </c>
      <c r="B12" s="57">
        <v>8.7962962962962968E-3</v>
      </c>
      <c r="C12" s="57">
        <v>9.3749999999999997E-3</v>
      </c>
      <c r="D12" s="58">
        <f t="shared" si="0"/>
        <v>5.787037037037028E-4</v>
      </c>
      <c r="E12" s="59">
        <f t="shared" si="1"/>
        <v>5.952380952380943E-2</v>
      </c>
      <c r="F12" s="69" t="s">
        <v>215</v>
      </c>
      <c r="G12" s="61" t="s">
        <v>587</v>
      </c>
      <c r="H12" s="61" t="s">
        <v>588</v>
      </c>
      <c r="I12" s="62" t="s">
        <v>589</v>
      </c>
      <c r="J12" s="61" t="s">
        <v>590</v>
      </c>
      <c r="K12" s="61" t="s">
        <v>278</v>
      </c>
      <c r="L12" s="61" t="s">
        <v>148</v>
      </c>
      <c r="M12" s="61" t="s">
        <v>591</v>
      </c>
      <c r="N12" s="61" t="s">
        <v>148</v>
      </c>
      <c r="O12" s="56">
        <v>1</v>
      </c>
    </row>
    <row r="13" spans="1:15" ht="57.95" customHeight="1" x14ac:dyDescent="0.25">
      <c r="A13" s="56">
        <v>9</v>
      </c>
      <c r="B13" s="57">
        <v>9.3749999999999997E-3</v>
      </c>
      <c r="C13" s="57">
        <v>9.7222222222222224E-3</v>
      </c>
      <c r="D13" s="58">
        <f t="shared" si="0"/>
        <v>3.4722222222222272E-4</v>
      </c>
      <c r="E13" s="59">
        <f t="shared" si="1"/>
        <v>3.5714285714285768E-2</v>
      </c>
      <c r="F13" s="70" t="s">
        <v>222</v>
      </c>
      <c r="G13" s="61" t="s">
        <v>223</v>
      </c>
      <c r="H13" s="61" t="s">
        <v>224</v>
      </c>
      <c r="I13" s="62" t="s">
        <v>592</v>
      </c>
      <c r="J13" s="61" t="s">
        <v>226</v>
      </c>
      <c r="K13" s="61" t="s">
        <v>226</v>
      </c>
      <c r="L13" s="61" t="s">
        <v>227</v>
      </c>
      <c r="M13" s="61" t="s">
        <v>148</v>
      </c>
      <c r="N13" s="61" t="s">
        <v>148</v>
      </c>
      <c r="O13" s="56">
        <v>1</v>
      </c>
    </row>
    <row r="15" spans="1:15" x14ac:dyDescent="0.25">
      <c r="A15" s="71" t="s">
        <v>228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</sheetData>
  <mergeCells count="3">
    <mergeCell ref="A1:O1"/>
    <mergeCell ref="A2:O2"/>
    <mergeCell ref="A15:O15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593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MAX(C5:C13)</f>
        <v>9.7222222222222224E-3</v>
      </c>
      <c r="D3" s="34" t="s">
        <v>115</v>
      </c>
      <c r="E3" s="34">
        <f>SUM(O5:O13)</f>
        <v>20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2.3148148148148149E-4</v>
      </c>
      <c r="D5" s="58">
        <f t="shared" ref="D5:D13" si="0">C5-B5</f>
        <v>2.3148148148148149E-4</v>
      </c>
      <c r="E5" s="59">
        <f t="shared" ref="E5:E13" si="1">IF($B$3=0,0,(C5-B5)/$B$3)</f>
        <v>2.3809523809523812E-2</v>
      </c>
      <c r="F5" s="60" t="s">
        <v>131</v>
      </c>
      <c r="G5" s="61" t="s">
        <v>594</v>
      </c>
      <c r="H5" s="61" t="s">
        <v>595</v>
      </c>
      <c r="I5" s="62" t="s">
        <v>596</v>
      </c>
      <c r="J5" s="61" t="s">
        <v>597</v>
      </c>
      <c r="K5" s="61" t="s">
        <v>598</v>
      </c>
      <c r="L5" s="61" t="s">
        <v>599</v>
      </c>
      <c r="M5" s="61" t="s">
        <v>600</v>
      </c>
      <c r="N5" s="61" t="s">
        <v>148</v>
      </c>
      <c r="O5" s="56">
        <v>2</v>
      </c>
    </row>
    <row r="6" spans="1:15" ht="57.95" customHeight="1" x14ac:dyDescent="0.25">
      <c r="A6" s="56">
        <v>2</v>
      </c>
      <c r="B6" s="57">
        <v>2.3148148148148149E-4</v>
      </c>
      <c r="C6" s="57">
        <v>6.9444444444444447E-4</v>
      </c>
      <c r="D6" s="58">
        <f t="shared" si="0"/>
        <v>4.6296296296296298E-4</v>
      </c>
      <c r="E6" s="59">
        <f t="shared" si="1"/>
        <v>4.7619047619047623E-2</v>
      </c>
      <c r="F6" s="63" t="s">
        <v>140</v>
      </c>
      <c r="G6" s="61" t="s">
        <v>601</v>
      </c>
      <c r="H6" s="61" t="s">
        <v>602</v>
      </c>
      <c r="I6" s="62" t="s">
        <v>603</v>
      </c>
      <c r="J6" s="61" t="s">
        <v>604</v>
      </c>
      <c r="K6" s="61" t="s">
        <v>605</v>
      </c>
      <c r="L6" s="61" t="s">
        <v>558</v>
      </c>
      <c r="M6" s="61" t="s">
        <v>606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6.9444444444444447E-4</v>
      </c>
      <c r="C7" s="57">
        <v>2.0833333333333333E-3</v>
      </c>
      <c r="D7" s="58">
        <f t="shared" si="0"/>
        <v>1.3888888888888887E-3</v>
      </c>
      <c r="E7" s="59">
        <f t="shared" si="1"/>
        <v>0.14285714285714285</v>
      </c>
      <c r="F7" s="64" t="s">
        <v>149</v>
      </c>
      <c r="G7" s="61" t="s">
        <v>607</v>
      </c>
      <c r="H7" s="61" t="s">
        <v>608</v>
      </c>
      <c r="I7" s="62" t="s">
        <v>609</v>
      </c>
      <c r="J7" s="61" t="s">
        <v>610</v>
      </c>
      <c r="K7" s="61" t="s">
        <v>611</v>
      </c>
      <c r="L7" s="61" t="s">
        <v>148</v>
      </c>
      <c r="M7" s="61" t="s">
        <v>148</v>
      </c>
      <c r="N7" s="61" t="s">
        <v>183</v>
      </c>
      <c r="O7" s="56">
        <v>2</v>
      </c>
    </row>
    <row r="8" spans="1:15" ht="57.95" customHeight="1" x14ac:dyDescent="0.25">
      <c r="A8" s="56">
        <v>4</v>
      </c>
      <c r="B8" s="57">
        <v>2.0833333333333333E-3</v>
      </c>
      <c r="C8" s="57">
        <v>4.1666666666666666E-3</v>
      </c>
      <c r="D8" s="58">
        <f t="shared" si="0"/>
        <v>2.0833333333333333E-3</v>
      </c>
      <c r="E8" s="59">
        <f t="shared" si="1"/>
        <v>0.21428571428571427</v>
      </c>
      <c r="F8" s="66" t="s">
        <v>163</v>
      </c>
      <c r="G8" s="61" t="s">
        <v>612</v>
      </c>
      <c r="H8" s="61" t="s">
        <v>613</v>
      </c>
      <c r="I8" s="62" t="s">
        <v>614</v>
      </c>
      <c r="J8" s="61" t="s">
        <v>615</v>
      </c>
      <c r="K8" s="61" t="s">
        <v>616</v>
      </c>
      <c r="L8" s="61" t="s">
        <v>617</v>
      </c>
      <c r="M8" s="61" t="s">
        <v>618</v>
      </c>
      <c r="N8" s="61" t="s">
        <v>619</v>
      </c>
      <c r="O8" s="56">
        <v>4</v>
      </c>
    </row>
    <row r="9" spans="1:15" ht="57.95" customHeight="1" x14ac:dyDescent="0.25">
      <c r="A9" s="56">
        <v>5</v>
      </c>
      <c r="B9" s="57">
        <v>4.1666666666666666E-3</v>
      </c>
      <c r="C9" s="57">
        <v>4.340277777777778E-3</v>
      </c>
      <c r="D9" s="58">
        <f t="shared" si="0"/>
        <v>1.7361111111111136E-4</v>
      </c>
      <c r="E9" s="59">
        <f t="shared" si="1"/>
        <v>1.7857142857142884E-2</v>
      </c>
      <c r="F9" s="65" t="s">
        <v>158</v>
      </c>
      <c r="G9" s="61" t="s">
        <v>620</v>
      </c>
      <c r="H9" s="61" t="s">
        <v>160</v>
      </c>
      <c r="I9" s="62" t="s">
        <v>621</v>
      </c>
      <c r="J9" s="61" t="s">
        <v>622</v>
      </c>
      <c r="K9" s="61" t="s">
        <v>623</v>
      </c>
      <c r="L9" s="61" t="s">
        <v>624</v>
      </c>
      <c r="M9" s="61" t="s">
        <v>625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4.340277777777778E-3</v>
      </c>
      <c r="C10" s="57">
        <v>6.9444444444444441E-3</v>
      </c>
      <c r="D10" s="58">
        <f t="shared" si="0"/>
        <v>2.6041666666666661E-3</v>
      </c>
      <c r="E10" s="59">
        <f t="shared" si="1"/>
        <v>0.26785714285714279</v>
      </c>
      <c r="F10" s="67" t="s">
        <v>199</v>
      </c>
      <c r="G10" s="61" t="s">
        <v>626</v>
      </c>
      <c r="H10" s="61" t="s">
        <v>627</v>
      </c>
      <c r="I10" s="62" t="s">
        <v>628</v>
      </c>
      <c r="J10" s="61" t="s">
        <v>629</v>
      </c>
      <c r="K10" s="61" t="s">
        <v>630</v>
      </c>
      <c r="L10" s="61" t="s">
        <v>631</v>
      </c>
      <c r="M10" s="61" t="s">
        <v>632</v>
      </c>
      <c r="N10" s="61" t="s">
        <v>633</v>
      </c>
      <c r="O10" s="56">
        <v>5</v>
      </c>
    </row>
    <row r="11" spans="1:15" ht="57.95" customHeight="1" x14ac:dyDescent="0.25">
      <c r="A11" s="56">
        <v>7</v>
      </c>
      <c r="B11" s="57">
        <v>6.9444444444444441E-3</v>
      </c>
      <c r="C11" s="57">
        <v>8.6805555555555559E-3</v>
      </c>
      <c r="D11" s="58">
        <f t="shared" si="0"/>
        <v>1.7361111111111119E-3</v>
      </c>
      <c r="E11" s="59">
        <f t="shared" si="1"/>
        <v>0.17857142857142866</v>
      </c>
      <c r="F11" s="66" t="s">
        <v>163</v>
      </c>
      <c r="G11" s="61" t="s">
        <v>634</v>
      </c>
      <c r="H11" s="61" t="s">
        <v>635</v>
      </c>
      <c r="I11" s="62" t="s">
        <v>636</v>
      </c>
      <c r="J11" s="61" t="s">
        <v>637</v>
      </c>
      <c r="K11" s="61" t="s">
        <v>638</v>
      </c>
      <c r="L11" s="61" t="s">
        <v>181</v>
      </c>
      <c r="M11" s="61" t="s">
        <v>639</v>
      </c>
      <c r="N11" s="61" t="s">
        <v>148</v>
      </c>
      <c r="O11" s="56">
        <v>3</v>
      </c>
    </row>
    <row r="12" spans="1:15" ht="57.95" customHeight="1" x14ac:dyDescent="0.25">
      <c r="A12" s="56">
        <v>8</v>
      </c>
      <c r="B12" s="57">
        <v>8.6805555555555559E-3</v>
      </c>
      <c r="C12" s="57">
        <v>9.2592592592592587E-3</v>
      </c>
      <c r="D12" s="58">
        <f t="shared" si="0"/>
        <v>5.787037037037028E-4</v>
      </c>
      <c r="E12" s="59">
        <f t="shared" si="1"/>
        <v>5.952380952380943E-2</v>
      </c>
      <c r="F12" s="69" t="s">
        <v>215</v>
      </c>
      <c r="G12" s="61" t="s">
        <v>640</v>
      </c>
      <c r="H12" s="61" t="s">
        <v>275</v>
      </c>
      <c r="I12" s="62" t="s">
        <v>641</v>
      </c>
      <c r="J12" s="61" t="s">
        <v>642</v>
      </c>
      <c r="K12" s="61" t="s">
        <v>643</v>
      </c>
      <c r="L12" s="61" t="s">
        <v>148</v>
      </c>
      <c r="M12" s="61" t="s">
        <v>644</v>
      </c>
      <c r="N12" s="61" t="s">
        <v>148</v>
      </c>
      <c r="O12" s="56">
        <v>1</v>
      </c>
    </row>
    <row r="13" spans="1:15" ht="57.95" customHeight="1" x14ac:dyDescent="0.25">
      <c r="A13" s="56">
        <v>9</v>
      </c>
      <c r="B13" s="57">
        <v>9.2592592592592587E-3</v>
      </c>
      <c r="C13" s="57">
        <v>9.7222222222222224E-3</v>
      </c>
      <c r="D13" s="58">
        <f t="shared" si="0"/>
        <v>4.6296296296296363E-4</v>
      </c>
      <c r="E13" s="59">
        <f t="shared" si="1"/>
        <v>4.7619047619047686E-2</v>
      </c>
      <c r="F13" s="70" t="s">
        <v>222</v>
      </c>
      <c r="G13" s="61" t="s">
        <v>223</v>
      </c>
      <c r="H13" s="61" t="s">
        <v>224</v>
      </c>
      <c r="I13" s="62" t="s">
        <v>645</v>
      </c>
      <c r="J13" s="61" t="s">
        <v>226</v>
      </c>
      <c r="K13" s="61" t="s">
        <v>226</v>
      </c>
      <c r="L13" s="61" t="s">
        <v>227</v>
      </c>
      <c r="M13" s="61" t="s">
        <v>148</v>
      </c>
      <c r="N13" s="61" t="s">
        <v>148</v>
      </c>
      <c r="O13" s="56">
        <v>1</v>
      </c>
    </row>
    <row r="15" spans="1:15" x14ac:dyDescent="0.25">
      <c r="A15" s="71" t="s">
        <v>228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</sheetData>
  <mergeCells count="3">
    <mergeCell ref="A1:O1"/>
    <mergeCell ref="A2:O2"/>
    <mergeCell ref="A15:O15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646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MAX(C5:C12)</f>
        <v>8.3333333333333332E-3</v>
      </c>
      <c r="D3" s="34" t="s">
        <v>115</v>
      </c>
      <c r="E3" s="34">
        <f>SUM(O5:O12)</f>
        <v>17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1.7361111111111112E-4</v>
      </c>
      <c r="D5" s="58">
        <f t="shared" ref="D5:D12" si="0">C5-B5</f>
        <v>1.7361111111111112E-4</v>
      </c>
      <c r="E5" s="59">
        <f t="shared" ref="E5:E12" si="1">IF($B$3=0,0,(C5-B5)/$B$3)</f>
        <v>2.0833333333333336E-2</v>
      </c>
      <c r="F5" s="60" t="s">
        <v>131</v>
      </c>
      <c r="G5" s="61" t="s">
        <v>647</v>
      </c>
      <c r="H5" s="61" t="s">
        <v>364</v>
      </c>
      <c r="I5" s="62" t="s">
        <v>648</v>
      </c>
      <c r="J5" s="61" t="s">
        <v>649</v>
      </c>
      <c r="K5" s="61" t="s">
        <v>650</v>
      </c>
      <c r="L5" s="61" t="s">
        <v>651</v>
      </c>
      <c r="M5" s="61" t="s">
        <v>652</v>
      </c>
      <c r="N5" s="61" t="s">
        <v>148</v>
      </c>
      <c r="O5" s="56">
        <v>1</v>
      </c>
    </row>
    <row r="6" spans="1:15" ht="57.95" customHeight="1" x14ac:dyDescent="0.25">
      <c r="A6" s="56">
        <v>2</v>
      </c>
      <c r="B6" s="57">
        <v>1.7361111111111112E-4</v>
      </c>
      <c r="C6" s="57">
        <v>4.6296296296296298E-4</v>
      </c>
      <c r="D6" s="58">
        <f t="shared" si="0"/>
        <v>2.8935185185185184E-4</v>
      </c>
      <c r="E6" s="59">
        <f t="shared" si="1"/>
        <v>3.4722222222222224E-2</v>
      </c>
      <c r="F6" s="63" t="s">
        <v>140</v>
      </c>
      <c r="G6" s="61" t="s">
        <v>653</v>
      </c>
      <c r="H6" s="61" t="s">
        <v>654</v>
      </c>
      <c r="I6" s="62" t="s">
        <v>655</v>
      </c>
      <c r="J6" s="61" t="s">
        <v>656</v>
      </c>
      <c r="K6" s="61" t="s">
        <v>657</v>
      </c>
      <c r="L6" s="61" t="s">
        <v>148</v>
      </c>
      <c r="M6" s="61" t="s">
        <v>148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4.6296296296296298E-4</v>
      </c>
      <c r="C7" s="57">
        <v>3.9351851851851848E-3</v>
      </c>
      <c r="D7" s="58">
        <f t="shared" si="0"/>
        <v>3.472222222222222E-3</v>
      </c>
      <c r="E7" s="59">
        <f t="shared" si="1"/>
        <v>0.41666666666666663</v>
      </c>
      <c r="F7" s="66" t="s">
        <v>163</v>
      </c>
      <c r="G7" s="61" t="s">
        <v>658</v>
      </c>
      <c r="H7" s="61" t="s">
        <v>659</v>
      </c>
      <c r="I7" s="62" t="s">
        <v>660</v>
      </c>
      <c r="J7" s="61" t="s">
        <v>661</v>
      </c>
      <c r="K7" s="61" t="s">
        <v>662</v>
      </c>
      <c r="L7" s="61" t="s">
        <v>663</v>
      </c>
      <c r="M7" s="61" t="s">
        <v>664</v>
      </c>
      <c r="N7" s="61" t="s">
        <v>183</v>
      </c>
      <c r="O7" s="56">
        <v>4</v>
      </c>
    </row>
    <row r="8" spans="1:15" ht="57.95" customHeight="1" x14ac:dyDescent="0.25">
      <c r="A8" s="56">
        <v>4</v>
      </c>
      <c r="B8" s="57">
        <v>3.9351851851851848E-3</v>
      </c>
      <c r="C8" s="57">
        <v>4.1666666666666666E-3</v>
      </c>
      <c r="D8" s="58">
        <f t="shared" si="0"/>
        <v>2.3148148148148182E-4</v>
      </c>
      <c r="E8" s="59">
        <f t="shared" si="1"/>
        <v>2.7777777777777818E-2</v>
      </c>
      <c r="F8" s="65" t="s">
        <v>158</v>
      </c>
      <c r="G8" s="61" t="s">
        <v>665</v>
      </c>
      <c r="H8" s="61" t="s">
        <v>666</v>
      </c>
      <c r="I8" s="62" t="s">
        <v>667</v>
      </c>
      <c r="J8" s="61" t="s">
        <v>668</v>
      </c>
      <c r="K8" s="61" t="s">
        <v>669</v>
      </c>
      <c r="L8" s="61" t="s">
        <v>148</v>
      </c>
      <c r="M8" s="61" t="s">
        <v>148</v>
      </c>
      <c r="N8" s="61" t="s">
        <v>148</v>
      </c>
      <c r="O8" s="56">
        <v>1</v>
      </c>
    </row>
    <row r="9" spans="1:15" ht="57.95" customHeight="1" x14ac:dyDescent="0.25">
      <c r="A9" s="56">
        <v>5</v>
      </c>
      <c r="B9" s="57">
        <v>4.1666666666666666E-3</v>
      </c>
      <c r="C9" s="57">
        <v>6.9444444444444441E-3</v>
      </c>
      <c r="D9" s="58">
        <f t="shared" si="0"/>
        <v>2.7777777777777775E-3</v>
      </c>
      <c r="E9" s="59">
        <f t="shared" si="1"/>
        <v>0.33333333333333331</v>
      </c>
      <c r="F9" s="66" t="s">
        <v>163</v>
      </c>
      <c r="G9" s="61" t="s">
        <v>670</v>
      </c>
      <c r="H9" s="61" t="s">
        <v>671</v>
      </c>
      <c r="I9" s="62" t="s">
        <v>672</v>
      </c>
      <c r="J9" s="61" t="s">
        <v>673</v>
      </c>
      <c r="K9" s="61" t="s">
        <v>662</v>
      </c>
      <c r="L9" s="61" t="s">
        <v>631</v>
      </c>
      <c r="M9" s="61" t="s">
        <v>674</v>
      </c>
      <c r="N9" s="61" t="s">
        <v>183</v>
      </c>
      <c r="O9" s="56">
        <v>4</v>
      </c>
    </row>
    <row r="10" spans="1:15" ht="57.95" customHeight="1" x14ac:dyDescent="0.25">
      <c r="A10" s="56">
        <v>6</v>
      </c>
      <c r="B10" s="57">
        <v>6.9444444444444441E-3</v>
      </c>
      <c r="C10" s="57">
        <v>7.8703703703703696E-3</v>
      </c>
      <c r="D10" s="58">
        <f t="shared" si="0"/>
        <v>9.2592592592592553E-4</v>
      </c>
      <c r="E10" s="59">
        <f t="shared" si="1"/>
        <v>0.11111111111111106</v>
      </c>
      <c r="F10" s="67" t="s">
        <v>199</v>
      </c>
      <c r="G10" s="61" t="s">
        <v>675</v>
      </c>
      <c r="H10" s="61" t="s">
        <v>268</v>
      </c>
      <c r="I10" s="62" t="s">
        <v>676</v>
      </c>
      <c r="J10" s="61" t="s">
        <v>677</v>
      </c>
      <c r="K10" s="61" t="s">
        <v>678</v>
      </c>
      <c r="L10" s="61" t="s">
        <v>570</v>
      </c>
      <c r="M10" s="61" t="s">
        <v>679</v>
      </c>
      <c r="N10" s="61" t="s">
        <v>183</v>
      </c>
      <c r="O10" s="56">
        <v>4</v>
      </c>
    </row>
    <row r="11" spans="1:15" ht="57.95" customHeight="1" x14ac:dyDescent="0.25">
      <c r="A11" s="56">
        <v>7</v>
      </c>
      <c r="B11" s="57">
        <v>7.8703703703703696E-3</v>
      </c>
      <c r="C11" s="57">
        <v>8.1597222222222227E-3</v>
      </c>
      <c r="D11" s="58">
        <f t="shared" si="0"/>
        <v>2.8935185185185314E-4</v>
      </c>
      <c r="E11" s="59">
        <f t="shared" si="1"/>
        <v>3.4722222222222376E-2</v>
      </c>
      <c r="F11" s="69" t="s">
        <v>215</v>
      </c>
      <c r="G11" s="61" t="s">
        <v>680</v>
      </c>
      <c r="H11" s="61" t="s">
        <v>275</v>
      </c>
      <c r="I11" s="62" t="s">
        <v>681</v>
      </c>
      <c r="J11" s="61" t="s">
        <v>277</v>
      </c>
      <c r="K11" s="61" t="s">
        <v>278</v>
      </c>
      <c r="L11" s="61" t="s">
        <v>148</v>
      </c>
      <c r="M11" s="61" t="s">
        <v>682</v>
      </c>
      <c r="N11" s="61" t="s">
        <v>148</v>
      </c>
      <c r="O11" s="56">
        <v>1</v>
      </c>
    </row>
    <row r="12" spans="1:15" ht="57.95" customHeight="1" x14ac:dyDescent="0.25">
      <c r="A12" s="56">
        <v>8</v>
      </c>
      <c r="B12" s="57">
        <v>8.1597222222222227E-3</v>
      </c>
      <c r="C12" s="57">
        <v>8.3333333333333332E-3</v>
      </c>
      <c r="D12" s="58">
        <f t="shared" si="0"/>
        <v>1.7361111111111049E-4</v>
      </c>
      <c r="E12" s="59">
        <f t="shared" si="1"/>
        <v>2.0833333333333259E-2</v>
      </c>
      <c r="F12" s="70" t="s">
        <v>222</v>
      </c>
      <c r="G12" s="61" t="s">
        <v>223</v>
      </c>
      <c r="H12" s="61" t="s">
        <v>224</v>
      </c>
      <c r="I12" s="62" t="s">
        <v>683</v>
      </c>
      <c r="J12" s="61" t="s">
        <v>226</v>
      </c>
      <c r="K12" s="61" t="s">
        <v>226</v>
      </c>
      <c r="L12" s="61" t="s">
        <v>227</v>
      </c>
      <c r="M12" s="61" t="s">
        <v>148</v>
      </c>
      <c r="N12" s="61" t="s">
        <v>148</v>
      </c>
      <c r="O12" s="56">
        <v>1</v>
      </c>
    </row>
    <row r="14" spans="1:15" x14ac:dyDescent="0.25">
      <c r="A14" s="71" t="s">
        <v>228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</row>
  </sheetData>
  <mergeCells count="3">
    <mergeCell ref="A1:O1"/>
    <mergeCell ref="A2:O2"/>
    <mergeCell ref="A14:O1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684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MAX(C5:C13)</f>
        <v>6.9444444444444441E-3</v>
      </c>
      <c r="D3" s="34" t="s">
        <v>115</v>
      </c>
      <c r="E3" s="34">
        <f>SUM(O5:O13)</f>
        <v>20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1.7361111111111112E-4</v>
      </c>
      <c r="D5" s="58">
        <f t="shared" ref="D5:D13" si="0">C5-B5</f>
        <v>1.7361111111111112E-4</v>
      </c>
      <c r="E5" s="59">
        <f t="shared" ref="E5:E13" si="1">IF($B$3=0,0,(C5-B5)/$B$3)</f>
        <v>2.5000000000000001E-2</v>
      </c>
      <c r="F5" s="60" t="s">
        <v>131</v>
      </c>
      <c r="G5" s="61" t="s">
        <v>685</v>
      </c>
      <c r="H5" s="61" t="s">
        <v>686</v>
      </c>
      <c r="I5" s="62" t="s">
        <v>687</v>
      </c>
      <c r="J5" s="61" t="s">
        <v>688</v>
      </c>
      <c r="K5" s="61" t="s">
        <v>689</v>
      </c>
      <c r="L5" s="61" t="s">
        <v>690</v>
      </c>
      <c r="M5" s="61" t="s">
        <v>691</v>
      </c>
      <c r="N5" s="61" t="s">
        <v>183</v>
      </c>
      <c r="O5" s="56">
        <v>2</v>
      </c>
    </row>
    <row r="6" spans="1:15" ht="57.95" customHeight="1" x14ac:dyDescent="0.25">
      <c r="A6" s="56">
        <v>2</v>
      </c>
      <c r="B6" s="57">
        <v>1.7361111111111112E-4</v>
      </c>
      <c r="C6" s="57">
        <v>3.4722222222222224E-4</v>
      </c>
      <c r="D6" s="58">
        <f t="shared" si="0"/>
        <v>1.7361111111111112E-4</v>
      </c>
      <c r="E6" s="59">
        <f t="shared" si="1"/>
        <v>2.5000000000000001E-2</v>
      </c>
      <c r="F6" s="63" t="s">
        <v>140</v>
      </c>
      <c r="G6" s="61" t="s">
        <v>692</v>
      </c>
      <c r="H6" s="61" t="s">
        <v>693</v>
      </c>
      <c r="I6" s="62" t="s">
        <v>694</v>
      </c>
      <c r="J6" s="61" t="s">
        <v>695</v>
      </c>
      <c r="K6" s="61" t="s">
        <v>696</v>
      </c>
      <c r="L6" s="61" t="s">
        <v>148</v>
      </c>
      <c r="M6" s="61" t="s">
        <v>697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3.4722222222222224E-4</v>
      </c>
      <c r="C7" s="57">
        <v>2.0833333333333333E-3</v>
      </c>
      <c r="D7" s="58">
        <f t="shared" si="0"/>
        <v>1.736111111111111E-3</v>
      </c>
      <c r="E7" s="59">
        <f t="shared" si="1"/>
        <v>0.25</v>
      </c>
      <c r="F7" s="66" t="s">
        <v>163</v>
      </c>
      <c r="G7" s="61" t="s">
        <v>698</v>
      </c>
      <c r="H7" s="61" t="s">
        <v>699</v>
      </c>
      <c r="I7" s="62" t="s">
        <v>700</v>
      </c>
      <c r="J7" s="61" t="s">
        <v>701</v>
      </c>
      <c r="K7" s="61" t="s">
        <v>702</v>
      </c>
      <c r="L7" s="61" t="s">
        <v>703</v>
      </c>
      <c r="M7" s="61" t="s">
        <v>704</v>
      </c>
      <c r="N7" s="61" t="s">
        <v>332</v>
      </c>
      <c r="O7" s="56">
        <v>4</v>
      </c>
    </row>
    <row r="8" spans="1:15" ht="57.95" customHeight="1" x14ac:dyDescent="0.25">
      <c r="A8" s="56">
        <v>4</v>
      </c>
      <c r="B8" s="57">
        <v>2.0833333333333333E-3</v>
      </c>
      <c r="C8" s="57">
        <v>3.8194444444444443E-3</v>
      </c>
      <c r="D8" s="58">
        <f t="shared" si="0"/>
        <v>1.736111111111111E-3</v>
      </c>
      <c r="E8" s="59">
        <f t="shared" si="1"/>
        <v>0.25</v>
      </c>
      <c r="F8" s="66" t="s">
        <v>163</v>
      </c>
      <c r="G8" s="61" t="s">
        <v>705</v>
      </c>
      <c r="H8" s="61" t="s">
        <v>149</v>
      </c>
      <c r="I8" s="62" t="s">
        <v>706</v>
      </c>
      <c r="J8" s="61" t="s">
        <v>707</v>
      </c>
      <c r="K8" s="61" t="s">
        <v>611</v>
      </c>
      <c r="L8" s="61" t="s">
        <v>148</v>
      </c>
      <c r="M8" s="61" t="s">
        <v>148</v>
      </c>
      <c r="N8" s="61" t="s">
        <v>302</v>
      </c>
      <c r="O8" s="56">
        <v>3</v>
      </c>
    </row>
    <row r="9" spans="1:15" ht="57.95" customHeight="1" x14ac:dyDescent="0.25">
      <c r="A9" s="56">
        <v>5</v>
      </c>
      <c r="B9" s="57">
        <v>3.8194444444444443E-3</v>
      </c>
      <c r="C9" s="57">
        <v>3.9930555555555552E-3</v>
      </c>
      <c r="D9" s="58">
        <f t="shared" si="0"/>
        <v>1.7361111111111093E-4</v>
      </c>
      <c r="E9" s="59">
        <f t="shared" si="1"/>
        <v>2.4999999999999974E-2</v>
      </c>
      <c r="F9" s="65" t="s">
        <v>158</v>
      </c>
      <c r="G9" s="61" t="s">
        <v>708</v>
      </c>
      <c r="H9" s="61" t="s">
        <v>160</v>
      </c>
      <c r="I9" s="62" t="s">
        <v>709</v>
      </c>
      <c r="J9" s="61" t="s">
        <v>710</v>
      </c>
      <c r="K9" s="61" t="s">
        <v>711</v>
      </c>
      <c r="L9" s="61" t="s">
        <v>148</v>
      </c>
      <c r="M9" s="61" t="s">
        <v>148</v>
      </c>
      <c r="N9" s="61" t="s">
        <v>148</v>
      </c>
      <c r="O9" s="56">
        <v>1</v>
      </c>
    </row>
    <row r="10" spans="1:15" ht="57.95" customHeight="1" x14ac:dyDescent="0.25">
      <c r="A10" s="56">
        <v>6</v>
      </c>
      <c r="B10" s="57">
        <v>3.9930555555555552E-3</v>
      </c>
      <c r="C10" s="57">
        <v>5.5555555555555558E-3</v>
      </c>
      <c r="D10" s="58">
        <f t="shared" si="0"/>
        <v>1.5625000000000005E-3</v>
      </c>
      <c r="E10" s="59">
        <f t="shared" si="1"/>
        <v>0.22500000000000009</v>
      </c>
      <c r="F10" s="68" t="s">
        <v>207</v>
      </c>
      <c r="G10" s="61" t="s">
        <v>712</v>
      </c>
      <c r="H10" s="61" t="s">
        <v>713</v>
      </c>
      <c r="I10" s="62" t="s">
        <v>714</v>
      </c>
      <c r="J10" s="61" t="s">
        <v>715</v>
      </c>
      <c r="K10" s="61" t="s">
        <v>716</v>
      </c>
      <c r="L10" s="61" t="s">
        <v>717</v>
      </c>
      <c r="M10" s="61" t="s">
        <v>718</v>
      </c>
      <c r="N10" s="61" t="s">
        <v>719</v>
      </c>
      <c r="O10" s="56">
        <v>4</v>
      </c>
    </row>
    <row r="11" spans="1:15" ht="57.95" customHeight="1" x14ac:dyDescent="0.25">
      <c r="A11" s="56">
        <v>7</v>
      </c>
      <c r="B11" s="57">
        <v>5.5555555555555558E-3</v>
      </c>
      <c r="C11" s="57">
        <v>6.2500000000000003E-3</v>
      </c>
      <c r="D11" s="58">
        <f t="shared" si="0"/>
        <v>6.9444444444444458E-4</v>
      </c>
      <c r="E11" s="59">
        <f t="shared" si="1"/>
        <v>0.10000000000000002</v>
      </c>
      <c r="F11" s="67" t="s">
        <v>199</v>
      </c>
      <c r="G11" s="61" t="s">
        <v>720</v>
      </c>
      <c r="H11" s="61" t="s">
        <v>721</v>
      </c>
      <c r="I11" s="62" t="s">
        <v>722</v>
      </c>
      <c r="J11" s="61" t="s">
        <v>723</v>
      </c>
      <c r="K11" s="61" t="s">
        <v>204</v>
      </c>
      <c r="L11" s="61" t="s">
        <v>570</v>
      </c>
      <c r="M11" s="61" t="s">
        <v>521</v>
      </c>
      <c r="N11" s="61" t="s">
        <v>183</v>
      </c>
      <c r="O11" s="56">
        <v>3</v>
      </c>
    </row>
    <row r="12" spans="1:15" ht="57.95" customHeight="1" x14ac:dyDescent="0.25">
      <c r="A12" s="56">
        <v>8</v>
      </c>
      <c r="B12" s="57">
        <v>6.2500000000000003E-3</v>
      </c>
      <c r="C12" s="57">
        <v>6.6550925925925927E-3</v>
      </c>
      <c r="D12" s="58">
        <f t="shared" si="0"/>
        <v>4.0509259259259231E-4</v>
      </c>
      <c r="E12" s="59">
        <f t="shared" si="1"/>
        <v>5.8333333333333293E-2</v>
      </c>
      <c r="F12" s="69" t="s">
        <v>215</v>
      </c>
      <c r="G12" s="61" t="s">
        <v>724</v>
      </c>
      <c r="H12" s="61" t="s">
        <v>275</v>
      </c>
      <c r="I12" s="62" t="s">
        <v>725</v>
      </c>
      <c r="J12" s="61" t="s">
        <v>277</v>
      </c>
      <c r="K12" s="61" t="s">
        <v>278</v>
      </c>
      <c r="L12" s="61" t="s">
        <v>148</v>
      </c>
      <c r="M12" s="61" t="s">
        <v>644</v>
      </c>
      <c r="N12" s="61" t="s">
        <v>148</v>
      </c>
      <c r="O12" s="56">
        <v>1</v>
      </c>
    </row>
    <row r="13" spans="1:15" ht="57.95" customHeight="1" x14ac:dyDescent="0.25">
      <c r="A13" s="56">
        <v>9</v>
      </c>
      <c r="B13" s="57">
        <v>6.6550925925925927E-3</v>
      </c>
      <c r="C13" s="57">
        <v>6.9444444444444441E-3</v>
      </c>
      <c r="D13" s="58">
        <f t="shared" si="0"/>
        <v>2.893518518518514E-4</v>
      </c>
      <c r="E13" s="59">
        <f t="shared" si="1"/>
        <v>4.1666666666666602E-2</v>
      </c>
      <c r="F13" s="70" t="s">
        <v>222</v>
      </c>
      <c r="G13" s="61" t="s">
        <v>223</v>
      </c>
      <c r="H13" s="61" t="s">
        <v>224</v>
      </c>
      <c r="I13" s="62" t="s">
        <v>726</v>
      </c>
      <c r="J13" s="61" t="s">
        <v>226</v>
      </c>
      <c r="K13" s="61" t="s">
        <v>226</v>
      </c>
      <c r="L13" s="61" t="s">
        <v>227</v>
      </c>
      <c r="M13" s="61" t="s">
        <v>148</v>
      </c>
      <c r="N13" s="61" t="s">
        <v>148</v>
      </c>
      <c r="O13" s="56">
        <v>1</v>
      </c>
    </row>
    <row r="15" spans="1:15" x14ac:dyDescent="0.25">
      <c r="A15" s="71" t="s">
        <v>228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</sheetData>
  <mergeCells count="3">
    <mergeCell ref="A1:O1"/>
    <mergeCell ref="A2:O2"/>
    <mergeCell ref="A15:O15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rightToLeft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3" width="8" customWidth="1"/>
    <col min="4" max="4" width="7" customWidth="1"/>
    <col min="5" max="5" width="8" customWidth="1"/>
    <col min="6" max="6" width="14" customWidth="1"/>
    <col min="7" max="7" width="26" customWidth="1"/>
    <col min="8" max="8" width="24" customWidth="1"/>
    <col min="9" max="9" width="46" customWidth="1"/>
    <col min="10" max="10" width="34" customWidth="1"/>
    <col min="11" max="11" width="28" customWidth="1"/>
    <col min="12" max="13" width="22" customWidth="1"/>
    <col min="14" max="14" width="26" customWidth="1"/>
    <col min="15" max="15" width="8" customWidth="1"/>
  </cols>
  <sheetData>
    <row r="1" spans="1:15" ht="19.5" x14ac:dyDescent="0.3">
      <c r="A1" s="72" t="s">
        <v>56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x14ac:dyDescent="0.25">
      <c r="A2" s="73" t="s">
        <v>727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x14ac:dyDescent="0.25">
      <c r="A3" s="34" t="s">
        <v>114</v>
      </c>
      <c r="B3" s="55">
        <f>MAX(C5:C9)</f>
        <v>5.2083333333333333E-4</v>
      </c>
      <c r="D3" s="34" t="s">
        <v>115</v>
      </c>
      <c r="E3" s="34">
        <f>SUM(O5:O9)</f>
        <v>7</v>
      </c>
    </row>
    <row r="4" spans="1:15" ht="30" customHeight="1" x14ac:dyDescent="0.25">
      <c r="A4" s="48" t="s">
        <v>116</v>
      </c>
      <c r="B4" s="48" t="s">
        <v>117</v>
      </c>
      <c r="C4" s="48" t="s">
        <v>118</v>
      </c>
      <c r="D4" s="48" t="s">
        <v>119</v>
      </c>
      <c r="E4" s="48" t="s">
        <v>120</v>
      </c>
      <c r="F4" s="48" t="s">
        <v>121</v>
      </c>
      <c r="G4" s="48" t="s">
        <v>122</v>
      </c>
      <c r="H4" s="48" t="s">
        <v>123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</row>
    <row r="5" spans="1:15" ht="57.95" customHeight="1" x14ac:dyDescent="0.25">
      <c r="A5" s="56">
        <v>1</v>
      </c>
      <c r="B5" s="57">
        <v>0</v>
      </c>
      <c r="C5" s="57">
        <v>2.3148148148148147E-5</v>
      </c>
      <c r="D5" s="58">
        <f>C5-B5</f>
        <v>2.3148148148148147E-5</v>
      </c>
      <c r="E5" s="59">
        <f>IF($B$3=0,0,(C5-B5)/$B$3)</f>
        <v>4.4444444444444446E-2</v>
      </c>
      <c r="F5" s="60" t="s">
        <v>131</v>
      </c>
      <c r="G5" s="61" t="s">
        <v>728</v>
      </c>
      <c r="H5" s="61" t="s">
        <v>729</v>
      </c>
      <c r="I5" s="62" t="s">
        <v>730</v>
      </c>
      <c r="J5" s="61" t="s">
        <v>731</v>
      </c>
      <c r="K5" s="61" t="s">
        <v>732</v>
      </c>
      <c r="L5" s="61" t="s">
        <v>733</v>
      </c>
      <c r="M5" s="61" t="s">
        <v>734</v>
      </c>
      <c r="N5" s="61" t="s">
        <v>735</v>
      </c>
      <c r="O5" s="56">
        <v>2</v>
      </c>
    </row>
    <row r="6" spans="1:15" ht="57.95" customHeight="1" x14ac:dyDescent="0.25">
      <c r="A6" s="56">
        <v>2</v>
      </c>
      <c r="B6" s="57">
        <v>2.3148148148148147E-5</v>
      </c>
      <c r="C6" s="57">
        <v>9.2592592592592588E-5</v>
      </c>
      <c r="D6" s="58">
        <f>C6-B6</f>
        <v>6.9444444444444444E-5</v>
      </c>
      <c r="E6" s="59">
        <f>IF($B$3=0,0,(C6-B6)/$B$3)</f>
        <v>0.13333333333333333</v>
      </c>
      <c r="F6" s="64" t="s">
        <v>149</v>
      </c>
      <c r="G6" s="61" t="s">
        <v>736</v>
      </c>
      <c r="H6" s="61" t="s">
        <v>737</v>
      </c>
      <c r="I6" s="62" t="s">
        <v>738</v>
      </c>
      <c r="J6" s="61" t="s">
        <v>739</v>
      </c>
      <c r="K6" s="61" t="s">
        <v>740</v>
      </c>
      <c r="L6" s="61" t="s">
        <v>148</v>
      </c>
      <c r="M6" s="61" t="s">
        <v>148</v>
      </c>
      <c r="N6" s="61" t="s">
        <v>148</v>
      </c>
      <c r="O6" s="56">
        <v>1</v>
      </c>
    </row>
    <row r="7" spans="1:15" ht="57.95" customHeight="1" x14ac:dyDescent="0.25">
      <c r="A7" s="56">
        <v>3</v>
      </c>
      <c r="B7" s="57">
        <v>9.2592592592592588E-5</v>
      </c>
      <c r="C7" s="57">
        <v>4.0509259259259258E-4</v>
      </c>
      <c r="D7" s="58">
        <f>C7-B7</f>
        <v>3.1250000000000001E-4</v>
      </c>
      <c r="E7" s="59">
        <f>IF($B$3=0,0,(C7-B7)/$B$3)</f>
        <v>0.6</v>
      </c>
      <c r="F7" s="66" t="s">
        <v>163</v>
      </c>
      <c r="G7" s="61" t="s">
        <v>741</v>
      </c>
      <c r="H7" s="61" t="s">
        <v>742</v>
      </c>
      <c r="I7" s="62" t="s">
        <v>743</v>
      </c>
      <c r="J7" s="61" t="s">
        <v>744</v>
      </c>
      <c r="K7" s="61" t="s">
        <v>745</v>
      </c>
      <c r="L7" s="61" t="s">
        <v>746</v>
      </c>
      <c r="M7" s="61" t="s">
        <v>747</v>
      </c>
      <c r="N7" s="61" t="s">
        <v>735</v>
      </c>
      <c r="O7" s="56">
        <v>2</v>
      </c>
    </row>
    <row r="8" spans="1:15" ht="57.95" customHeight="1" x14ac:dyDescent="0.25">
      <c r="A8" s="56">
        <v>4</v>
      </c>
      <c r="B8" s="57">
        <v>4.0509259259259258E-4</v>
      </c>
      <c r="C8" s="57">
        <v>4.861111111111111E-4</v>
      </c>
      <c r="D8" s="58">
        <f>C8-B8</f>
        <v>8.1018518518518516E-5</v>
      </c>
      <c r="E8" s="59">
        <f>IF($B$3=0,0,(C8-B8)/$B$3)</f>
        <v>0.15555555555555556</v>
      </c>
      <c r="F8" s="67" t="s">
        <v>199</v>
      </c>
      <c r="G8" s="61" t="s">
        <v>748</v>
      </c>
      <c r="H8" s="61" t="s">
        <v>749</v>
      </c>
      <c r="I8" s="62" t="s">
        <v>750</v>
      </c>
      <c r="J8" s="61" t="s">
        <v>751</v>
      </c>
      <c r="K8" s="61" t="s">
        <v>752</v>
      </c>
      <c r="L8" s="61" t="s">
        <v>733</v>
      </c>
      <c r="M8" s="61" t="s">
        <v>148</v>
      </c>
      <c r="N8" s="61" t="s">
        <v>148</v>
      </c>
      <c r="O8" s="56">
        <v>1</v>
      </c>
    </row>
    <row r="9" spans="1:15" ht="57.95" customHeight="1" x14ac:dyDescent="0.25">
      <c r="A9" s="56">
        <v>5</v>
      </c>
      <c r="B9" s="57">
        <v>4.861111111111111E-4</v>
      </c>
      <c r="C9" s="57">
        <v>5.2083333333333333E-4</v>
      </c>
      <c r="D9" s="58">
        <f>C9-B9</f>
        <v>3.4722222222222229E-5</v>
      </c>
      <c r="E9" s="59">
        <f>IF($B$3=0,0,(C9-B9)/$B$3)</f>
        <v>6.666666666666668E-2</v>
      </c>
      <c r="F9" s="69" t="s">
        <v>215</v>
      </c>
      <c r="G9" s="61" t="s">
        <v>753</v>
      </c>
      <c r="H9" s="61" t="s">
        <v>754</v>
      </c>
      <c r="I9" s="62" t="s">
        <v>755</v>
      </c>
      <c r="J9" s="61" t="s">
        <v>756</v>
      </c>
      <c r="K9" s="61" t="s">
        <v>757</v>
      </c>
      <c r="L9" s="61" t="s">
        <v>148</v>
      </c>
      <c r="M9" s="61" t="s">
        <v>758</v>
      </c>
      <c r="N9" s="61" t="s">
        <v>148</v>
      </c>
      <c r="O9" s="56">
        <v>1</v>
      </c>
    </row>
    <row r="11" spans="1:15" x14ac:dyDescent="0.25">
      <c r="A11" s="71" t="s">
        <v>228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</row>
  </sheetData>
  <mergeCells count="3">
    <mergeCell ref="A1:O1"/>
    <mergeCell ref="A2:O2"/>
    <mergeCell ref="A11:O1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راهنما</vt:lpstr>
      <vt:lpstr>نمای برش‌ها</vt:lpstr>
      <vt:lpstr>مقایسه‌ی فرمت‌ها</vt:lpstr>
      <vt:lpstr>FS داستان کامل</vt:lpstr>
      <vt:lpstr>PL بازی مثل بارسا</vt:lpstr>
      <vt:lpstr>A تحلیل تاکتیکی</vt:lpstr>
      <vt:lpstr>B کالبدشکافی بازیکن</vt:lpstr>
      <vt:lpstr>C مستند تاریخی</vt:lpstr>
      <vt:lpstr>D سری تاریخی با عکس</vt:lpstr>
      <vt:lpstr>E تاریخ شفاهی هوادار</vt:lpstr>
      <vt:lpstr>F شبیه‌ساز «اگر…»</vt:lpstr>
      <vt:lpstr>G رتبه‌بندی</vt:lpstr>
      <vt:lpstr>H یک لحظه ده زاویه</vt:lpstr>
      <vt:lpstr>I شورتز مشتق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2026-10-15T00:21:10Z</dcterms:created>
  <dcterms:modified xsi:type="dcterms:W3CDTF">2026-10-15T00:22:17Z</dcterms:modified>
  <cp:category/>
</cp:coreProperties>
</file>